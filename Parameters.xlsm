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emf" ContentType="image/x-emf"/>
  <Default Extension="png" ContentType="image/png"/>
  <Default Extension="rels" ContentType="application/vnd.openxmlformats-package.relationships+xml"/>
  <Default Extension="vml" ContentType="application/vnd.openxmlformats-officedocument.vmlDrawing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activeX/activeX1.xml" ContentType="application/vnd.ms-office.activeX+xml"/>
  <Override PartName="/xl/activeX/activeX1.bin" ContentType="application/vnd.ms-office.activeX"/>
  <Override PartName="/xl/activeX/activeX2.xml" ContentType="application/vnd.ms-office.activeX+xml"/>
  <Override PartName="/xl/activeX/activeX2.bin" ContentType="application/vnd.ms-office.activeX"/>
  <Override PartName="/xl/comments1.xml" ContentType="application/vnd.openxmlformats-officedocument.spreadsheetml.comments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charts/chart2.xml" ContentType="application/vnd.openxmlformats-officedocument.drawingml.chart+xml"/>
  <Override PartName="/xl/charts/style2.xml" ContentType="application/vnd.ms-office.chartstyle+xml"/>
  <Override PartName="/xl/charts/colors2.xml" ContentType="application/vnd.ms-office.chartcolorstyle+xml"/>
  <Override PartName="/xl/charts/chart3.xml" ContentType="application/vnd.openxmlformats-officedocument.drawingml.chart+xml"/>
  <Override PartName="/xl/charts/style3.xml" ContentType="application/vnd.ms-office.chartstyle+xml"/>
  <Override PartName="/xl/charts/colors3.xml" ContentType="application/vnd.ms-office.chartcolorstyle+xml"/>
  <Override PartName="/xl/charts/chart4.xml" ContentType="application/vnd.openxmlformats-officedocument.drawingml.chart+xml"/>
  <Override PartName="/xl/charts/style4.xml" ContentType="application/vnd.ms-office.chartstyle+xml"/>
  <Override PartName="/xl/charts/colors4.xml" ContentType="application/vnd.ms-office.chartcolorstyle+xml"/>
  <Override PartName="/xl/charts/chart5.xml" ContentType="application/vnd.openxmlformats-officedocument.drawingml.chart+xml"/>
  <Override PartName="/xl/charts/style5.xml" ContentType="application/vnd.ms-office.chartstyle+xml"/>
  <Override PartName="/xl/charts/colors5.xml" ContentType="application/vnd.ms-office.chartcolorstyle+xml"/>
  <Override PartName="/xl/charts/chart6.xml" ContentType="application/vnd.openxmlformats-officedocument.drawingml.chart+xml"/>
  <Override PartName="/xl/charts/style6.xml" ContentType="application/vnd.ms-office.chartstyle+xml"/>
  <Override PartName="/xl/charts/colors6.xml" ContentType="application/vnd.ms-office.chartcolorstyle+xml"/>
  <Override PartName="/xl/charts/chart7.xml" ContentType="application/vnd.openxmlformats-officedocument.drawingml.chart+xml"/>
  <Override PartName="/xl/charts/style7.xml" ContentType="application/vnd.ms-office.chartstyle+xml"/>
  <Override PartName="/xl/charts/colors7.xml" ContentType="application/vnd.ms-office.chartcolorstyle+xml"/>
  <Override PartName="/xl/charts/chart8.xml" ContentType="application/vnd.openxmlformats-officedocument.drawingml.chart+xml"/>
  <Override PartName="/xl/charts/style8.xml" ContentType="application/vnd.ms-office.chartstyle+xml"/>
  <Override PartName="/xl/charts/colors8.xml" ContentType="application/vnd.ms-office.chartcolorstyle+xml"/>
  <Override PartName="/xl/charts/chart9.xml" ContentType="application/vnd.openxmlformats-officedocument.drawingml.chart+xml"/>
  <Override PartName="/xl/charts/style9.xml" ContentType="application/vnd.ms-office.chartstyle+xml"/>
  <Override PartName="/xl/charts/colors9.xml" ContentType="application/vnd.ms-office.chartcolorstyle+xml"/>
  <Override PartName="/xl/charts/chart10.xml" ContentType="application/vnd.openxmlformats-officedocument.drawingml.chart+xml"/>
  <Override PartName="/xl/charts/style10.xml" ContentType="application/vnd.ms-office.chartstyle+xml"/>
  <Override PartName="/xl/charts/colors10.xml" ContentType="application/vnd.ms-office.chartcolorstyle+xml"/>
  <Override PartName="/xl/comments2.xml" ContentType="application/vnd.openxmlformats-officedocument.spreadsheetml.comments+xml"/>
  <Override PartName="/xl/drawings/drawing2.xml" ContentType="application/vnd.openxmlformats-officedocument.drawing+xml"/>
  <Override PartName="/xl/comments3.xml" ContentType="application/vnd.openxmlformats-officedocument.spreadsheetml.comments+xml"/>
  <Override PartName="/xl/charts/chart11.xml" ContentType="application/vnd.openxmlformats-officedocument.drawingml.chart+xml"/>
  <Override PartName="/xl/charts/style11.xml" ContentType="application/vnd.ms-office.chartstyle+xml"/>
  <Override PartName="/xl/charts/colors11.xml" ContentType="application/vnd.ms-office.chartcolorstyle+xml"/>
  <Override PartName="/xl/charts/chart12.xml" ContentType="application/vnd.openxmlformats-officedocument.drawingml.chart+xml"/>
  <Override PartName="/xl/charts/style12.xml" ContentType="application/vnd.ms-office.chartstyle+xml"/>
  <Override PartName="/xl/charts/colors12.xml" ContentType="application/vnd.ms-office.chartcolorstyle+xml"/>
  <Override PartName="/xl/charts/chart13.xml" ContentType="application/vnd.openxmlformats-officedocument.drawingml.chart+xml"/>
  <Override PartName="/xl/charts/style13.xml" ContentType="application/vnd.ms-office.chartstyle+xml"/>
  <Override PartName="/xl/charts/colors13.xml" ContentType="application/vnd.ms-office.chartcolorstyle+xml"/>
  <Override PartName="/xl/charts/chart14.xml" ContentType="application/vnd.openxmlformats-officedocument.drawingml.chart+xml"/>
  <Override PartName="/xl/charts/style14.xml" ContentType="application/vnd.ms-office.chartstyle+xml"/>
  <Override PartName="/xl/charts/colors14.xml" ContentType="application/vnd.ms-office.chartcolorstyle+xml"/>
  <Override PartName="/xl/charts/chart15.xml" ContentType="application/vnd.openxmlformats-officedocument.drawingml.chart+xml"/>
  <Override PartName="/xl/charts/style15.xml" ContentType="application/vnd.ms-office.chartstyle+xml"/>
  <Override PartName="/xl/charts/colors15.xml" ContentType="application/vnd.ms-office.chartcolorstyle+xml"/>
  <Override PartName="/xl/charts/chart16.xml" ContentType="application/vnd.openxmlformats-officedocument.drawingml.chart+xml"/>
  <Override PartName="/xl/charts/style16.xml" ContentType="application/vnd.ms-office.chartstyle+xml"/>
  <Override PartName="/xl/charts/colors16.xml" ContentType="application/vnd.ms-office.chartcolorstyle+xml"/>
  <Override PartName="/xl/drawings/drawing3.xml" ContentType="application/vnd.openxmlformats-officedocument.drawing+xml"/>
  <Override PartName="/xl/activeX/activeX3.xml" ContentType="application/vnd.ms-office.activeX+xml"/>
  <Override PartName="/xl/activeX/activeX3.bin" ContentType="application/vnd.ms-office.activeX"/>
  <Override PartName="/xl/activeX/activeX4.xml" ContentType="application/vnd.ms-office.activeX+xml"/>
  <Override PartName="/xl/activeX/activeX4.bin" ContentType="application/vnd.ms-office.activeX"/>
  <Override PartName="/xl/activeX/activeX5.xml" ContentType="application/vnd.ms-office.activeX+xml"/>
  <Override PartName="/xl/activeX/activeX5.bin" ContentType="application/vnd.ms-office.activeX"/>
  <Override PartName="/xl/ctrlProps/ctrlProp1.xml" ContentType="application/vnd.ms-excel.controlproperties+xml"/>
  <Override PartName="/xl/comments4.xml" ContentType="application/vnd.openxmlformats-officedocument.spreadsheetml.comments+xml"/>
  <Override PartName="/xl/calcChain.xml" ContentType="application/vnd.openxmlformats-officedocument.spreadsheetml.calcChain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4527" codeName="{B6124F1A-AFFB-F854-7757-9A1D4C6FC43C}"/>
  <workbookPr codeName="ThisWorkbook" defaultThemeVersion="166925"/>
  <mc:AlternateContent xmlns:mc="http://schemas.openxmlformats.org/markup-compatibility/2006">
    <mc:Choice Requires="x15">
      <x15ac:absPath xmlns:x15ac="http://schemas.microsoft.com/office/spreadsheetml/2010/11/ac" url="C:\Users\koenr\Documents\MATLAB\H2\"/>
    </mc:Choice>
  </mc:AlternateContent>
  <xr:revisionPtr revIDLastSave="0" documentId="13_ncr:1_{8C4F086E-D12F-49DC-8FAA-2CC1C1276309}" xr6:coauthVersionLast="47" xr6:coauthVersionMax="47" xr10:uidLastSave="{00000000-0000-0000-0000-000000000000}"/>
  <bookViews>
    <workbookView xWindow="-98" yWindow="-98" windowWidth="24196" windowHeight="13096" activeTab="3" xr2:uid="{6FAAA4A3-7BC1-4E3E-BDDB-EA01481A4B71}"/>
  </bookViews>
  <sheets>
    <sheet name="Results" sheetId="25" r:id="rId1"/>
    <sheet name="Calculations" sheetId="21" r:id="rId2"/>
    <sheet name="Learning rates" sheetId="23" r:id="rId3"/>
    <sheet name="Matlab Export" sheetId="27" r:id="rId4"/>
  </sheet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E30" i="27" l="1"/>
  <c r="E49" i="27"/>
  <c r="E48" i="27"/>
  <c r="E47" i="27"/>
  <c r="E44" i="27"/>
  <c r="E27" i="27"/>
  <c r="E39" i="27"/>
  <c r="E11" i="27"/>
  <c r="E10" i="27"/>
  <c r="E9" i="27"/>
  <c r="E43" i="27"/>
  <c r="E40" i="27"/>
  <c r="E38" i="27"/>
  <c r="E37" i="27"/>
  <c r="E36" i="27"/>
  <c r="E35" i="27"/>
  <c r="E32" i="27"/>
  <c r="E31" i="27"/>
  <c r="E29" i="27"/>
  <c r="E28" i="27"/>
  <c r="E26" i="27"/>
  <c r="E25" i="27"/>
  <c r="E24" i="27"/>
  <c r="E23" i="27"/>
  <c r="E22" i="27"/>
  <c r="E21" i="27"/>
  <c r="E18" i="27"/>
  <c r="E17" i="27"/>
  <c r="E16" i="27"/>
  <c r="E15" i="27"/>
  <c r="E14" i="27"/>
  <c r="E4" i="27"/>
  <c r="E174" i="21"/>
  <c r="E180" i="21" s="1"/>
  <c r="E181" i="21" s="1"/>
  <c r="E183" i="21" s="1"/>
  <c r="E187" i="21" s="1"/>
  <c r="E209" i="21"/>
  <c r="F211" i="21" s="1"/>
  <c r="K127" i="21"/>
  <c r="N57" i="21"/>
  <c r="N67" i="21" s="1"/>
  <c r="M57" i="21"/>
  <c r="M67" i="21" s="1"/>
  <c r="L57" i="21"/>
  <c r="L67" i="21" s="1"/>
  <c r="C162" i="23"/>
  <c r="C163" i="23" s="1"/>
  <c r="C164" i="23" s="1"/>
  <c r="C165" i="23" s="1"/>
  <c r="C166" i="23" s="1"/>
  <c r="C167" i="23" s="1"/>
  <c r="C168" i="23" s="1"/>
  <c r="C169" i="23" s="1"/>
  <c r="C170" i="23" s="1"/>
  <c r="C171" i="23" s="1"/>
  <c r="C172" i="23" s="1"/>
  <c r="C173" i="23" s="1"/>
  <c r="C174" i="23" s="1"/>
  <c r="C175" i="23" s="1"/>
  <c r="C176" i="23" s="1"/>
  <c r="C177" i="23" s="1"/>
  <c r="C178" i="23" s="1"/>
  <c r="C179" i="23" s="1"/>
  <c r="C180" i="23" s="1"/>
  <c r="C181" i="23" s="1"/>
  <c r="C182" i="23" s="1"/>
  <c r="C183" i="23" s="1"/>
  <c r="C184" i="23" s="1"/>
  <c r="C185" i="23" s="1"/>
  <c r="C186" i="23" s="1"/>
  <c r="C187" i="23" s="1"/>
  <c r="C188" i="23" s="1"/>
  <c r="C189" i="23" s="1"/>
  <c r="C161" i="23"/>
  <c r="C160" i="23"/>
  <c r="D159" i="23"/>
  <c r="D158" i="23"/>
  <c r="D157" i="23"/>
  <c r="D156" i="23"/>
  <c r="D155" i="23"/>
  <c r="D154" i="23"/>
  <c r="D153" i="23"/>
  <c r="D152" i="23"/>
  <c r="D151" i="23"/>
  <c r="D150" i="23"/>
  <c r="D149" i="23"/>
  <c r="D148" i="23"/>
  <c r="L142" i="23"/>
  <c r="K142" i="23"/>
  <c r="J142" i="23"/>
  <c r="D142" i="23"/>
  <c r="H138" i="23"/>
  <c r="H137" i="23"/>
  <c r="I136" i="23"/>
  <c r="H136" i="23"/>
  <c r="D136" i="23"/>
  <c r="I135" i="23"/>
  <c r="H135" i="23"/>
  <c r="I134" i="23"/>
  <c r="H134" i="23"/>
  <c r="L133" i="23"/>
  <c r="K133" i="23"/>
  <c r="K134" i="23" s="1"/>
  <c r="K135" i="23" s="1"/>
  <c r="K136" i="23" s="1"/>
  <c r="I133" i="23"/>
  <c r="H133" i="23"/>
  <c r="L132" i="23"/>
  <c r="K132" i="23"/>
  <c r="I132" i="23"/>
  <c r="H132" i="23"/>
  <c r="I131" i="23"/>
  <c r="H131" i="23"/>
  <c r="I130" i="23"/>
  <c r="H130" i="23"/>
  <c r="I129" i="23"/>
  <c r="H129" i="23"/>
  <c r="I128" i="23"/>
  <c r="H128" i="23"/>
  <c r="I127" i="23"/>
  <c r="H127" i="23"/>
  <c r="I126" i="23"/>
  <c r="H126" i="23"/>
  <c r="I125" i="23"/>
  <c r="H125" i="23"/>
  <c r="H124" i="23"/>
  <c r="AO112" i="23"/>
  <c r="AM112" i="23"/>
  <c r="AK112" i="23"/>
  <c r="AI112" i="23"/>
  <c r="AO111" i="23"/>
  <c r="AM111" i="23"/>
  <c r="AK111" i="23"/>
  <c r="AI111" i="23"/>
  <c r="AO110" i="23"/>
  <c r="AM110" i="23"/>
  <c r="AK110" i="23"/>
  <c r="AI110" i="23"/>
  <c r="AO109" i="23"/>
  <c r="AM109" i="23"/>
  <c r="AK109" i="23"/>
  <c r="AI109" i="23"/>
  <c r="AO108" i="23"/>
  <c r="AM108" i="23"/>
  <c r="AK108" i="23"/>
  <c r="AI108" i="23"/>
  <c r="AO107" i="23"/>
  <c r="AM107" i="23"/>
  <c r="AK107" i="23"/>
  <c r="AI107" i="23"/>
  <c r="AO106" i="23"/>
  <c r="AM106" i="23"/>
  <c r="AK106" i="23"/>
  <c r="AI106" i="23"/>
  <c r="AO105" i="23"/>
  <c r="AM105" i="23"/>
  <c r="AK105" i="23"/>
  <c r="AI105" i="23"/>
  <c r="AO104" i="23"/>
  <c r="AM104" i="23"/>
  <c r="AK104" i="23"/>
  <c r="AI104" i="23"/>
  <c r="AO103" i="23"/>
  <c r="AM103" i="23"/>
  <c r="AK103" i="23"/>
  <c r="AI103" i="23"/>
  <c r="AO102" i="23"/>
  <c r="AM102" i="23"/>
  <c r="AK102" i="23"/>
  <c r="AI102" i="23"/>
  <c r="AO101" i="23"/>
  <c r="AM101" i="23"/>
  <c r="AK101" i="23"/>
  <c r="AI101" i="23"/>
  <c r="AO100" i="23"/>
  <c r="AM100" i="23"/>
  <c r="AK100" i="23"/>
  <c r="AI100" i="23"/>
  <c r="AP99" i="23"/>
  <c r="AP100" i="23" s="1"/>
  <c r="AO99" i="23"/>
  <c r="AM99" i="23"/>
  <c r="AK99" i="23"/>
  <c r="AI99" i="23"/>
  <c r="AO98" i="23"/>
  <c r="AM98" i="23"/>
  <c r="AK98" i="23"/>
  <c r="AI98" i="23"/>
  <c r="AO97" i="23"/>
  <c r="AM97" i="23"/>
  <c r="AK97" i="23"/>
  <c r="AI97" i="23"/>
  <c r="AM96" i="23"/>
  <c r="AK96" i="23"/>
  <c r="AI96" i="23"/>
  <c r="F96" i="23"/>
  <c r="AM95" i="23"/>
  <c r="AK95" i="23"/>
  <c r="AI95" i="23"/>
  <c r="F95" i="23"/>
  <c r="AM94" i="23"/>
  <c r="AK94" i="23"/>
  <c r="AI94" i="23"/>
  <c r="F94" i="23"/>
  <c r="AM93" i="23"/>
  <c r="AK93" i="23"/>
  <c r="AI93" i="23"/>
  <c r="F93" i="23"/>
  <c r="AP98" i="23" s="1"/>
  <c r="AM92" i="23"/>
  <c r="AK92" i="23"/>
  <c r="AI92" i="23"/>
  <c r="AM91" i="23"/>
  <c r="AK91" i="23"/>
  <c r="AI91" i="23"/>
  <c r="AM90" i="23"/>
  <c r="AK90" i="23"/>
  <c r="AI90" i="23"/>
  <c r="AM89" i="23"/>
  <c r="AK89" i="23"/>
  <c r="AI89" i="23"/>
  <c r="AM88" i="23"/>
  <c r="AK88" i="23"/>
  <c r="AI88" i="23"/>
  <c r="AM87" i="23"/>
  <c r="AK87" i="23"/>
  <c r="AI87" i="23"/>
  <c r="AM86" i="23"/>
  <c r="AK86" i="23"/>
  <c r="AI86" i="23"/>
  <c r="V86" i="23"/>
  <c r="Q86" i="23"/>
  <c r="AM85" i="23"/>
  <c r="AK85" i="23"/>
  <c r="AI85" i="23"/>
  <c r="AC85" i="23"/>
  <c r="AB85" i="23"/>
  <c r="X85" i="23"/>
  <c r="W85" i="23"/>
  <c r="V85" i="23"/>
  <c r="U85" i="23"/>
  <c r="T85" i="23"/>
  <c r="S85" i="23"/>
  <c r="R85" i="23"/>
  <c r="P85" i="23"/>
  <c r="O85" i="23"/>
  <c r="N85" i="23"/>
  <c r="M85" i="23"/>
  <c r="L85" i="23"/>
  <c r="K85" i="23"/>
  <c r="D84" i="23"/>
  <c r="D85" i="23" s="1"/>
  <c r="D86" i="23" s="1"/>
  <c r="AA83" i="23"/>
  <c r="AA84" i="23" s="1"/>
  <c r="AA85" i="23" s="1"/>
  <c r="W83" i="23"/>
  <c r="W84" i="23" s="1"/>
  <c r="H83" i="23"/>
  <c r="D83" i="23"/>
  <c r="AA82" i="23"/>
  <c r="Z82" i="23"/>
  <c r="Z83" i="23" s="1"/>
  <c r="Z84" i="23" s="1"/>
  <c r="Z85" i="23" s="1"/>
  <c r="Y82" i="23"/>
  <c r="Y83" i="23" s="1"/>
  <c r="Y84" i="23" s="1"/>
  <c r="Y85" i="23" s="1"/>
  <c r="W82" i="23"/>
  <c r="E42" i="23"/>
  <c r="Q85" i="23" s="1"/>
  <c r="BE232" i="21"/>
  <c r="AO232" i="21"/>
  <c r="AI232" i="21"/>
  <c r="AH232" i="21"/>
  <c r="BD232" i="21" s="1"/>
  <c r="AG232" i="21"/>
  <c r="BC232" i="21" s="1"/>
  <c r="AD232" i="21"/>
  <c r="AZ232" i="21" s="1"/>
  <c r="AC232" i="21"/>
  <c r="V232" i="21"/>
  <c r="Y232" i="21" s="1"/>
  <c r="AU232" i="21" s="1"/>
  <c r="S232" i="21"/>
  <c r="R232" i="21"/>
  <c r="AN232" i="21" s="1"/>
  <c r="Q232" i="21"/>
  <c r="AM232" i="21" s="1"/>
  <c r="P232" i="21"/>
  <c r="AL232" i="21" s="1"/>
  <c r="AY231" i="21"/>
  <c r="AL231" i="21"/>
  <c r="AI231" i="21"/>
  <c r="AF231" i="21"/>
  <c r="BB231" i="21" s="1"/>
  <c r="AE231" i="21"/>
  <c r="BA231" i="21" s="1"/>
  <c r="AC231" i="21"/>
  <c r="AB231" i="21"/>
  <c r="AX231" i="21" s="1"/>
  <c r="AA231" i="21"/>
  <c r="AW231" i="21" s="1"/>
  <c r="X231" i="21"/>
  <c r="AT231" i="21" s="1"/>
  <c r="W231" i="21"/>
  <c r="AS231" i="21" s="1"/>
  <c r="V231" i="21"/>
  <c r="AR231" i="21" s="1"/>
  <c r="S231" i="21"/>
  <c r="P231" i="21"/>
  <c r="BE230" i="21"/>
  <c r="AO230" i="21"/>
  <c r="AL230" i="21"/>
  <c r="AI230" i="21"/>
  <c r="AC230" i="21"/>
  <c r="AB230" i="21"/>
  <c r="AX230" i="21" s="1"/>
  <c r="V230" i="21"/>
  <c r="AR230" i="21" s="1"/>
  <c r="U230" i="21"/>
  <c r="AQ230" i="21" s="1"/>
  <c r="T230" i="21"/>
  <c r="AP230" i="21" s="1"/>
  <c r="S230" i="21"/>
  <c r="Q230" i="21"/>
  <c r="AM230" i="21" s="1"/>
  <c r="P230" i="21"/>
  <c r="AI228" i="21"/>
  <c r="AH228" i="21"/>
  <c r="BD228" i="21" s="1"/>
  <c r="AC228" i="21"/>
  <c r="AY228" i="21" s="1"/>
  <c r="V228" i="21"/>
  <c r="S228" i="21"/>
  <c r="P228" i="21"/>
  <c r="AL228" i="21" s="1"/>
  <c r="BE227" i="21"/>
  <c r="AI227" i="21"/>
  <c r="AH227" i="21"/>
  <c r="BD227" i="21" s="1"/>
  <c r="AC227" i="21"/>
  <c r="AB227" i="21"/>
  <c r="AX227" i="21" s="1"/>
  <c r="X227" i="21"/>
  <c r="AT227" i="21" s="1"/>
  <c r="W227" i="21"/>
  <c r="AS227" i="21" s="1"/>
  <c r="V227" i="21"/>
  <c r="AR227" i="21" s="1"/>
  <c r="S227" i="21"/>
  <c r="P227" i="21"/>
  <c r="AL227" i="21" s="1"/>
  <c r="AO226" i="21"/>
  <c r="AI226" i="21"/>
  <c r="AC226" i="21"/>
  <c r="AY226" i="21" s="1"/>
  <c r="V226" i="21"/>
  <c r="AR226" i="21" s="1"/>
  <c r="S226" i="21"/>
  <c r="Q226" i="21" s="1"/>
  <c r="AM226" i="21" s="1"/>
  <c r="R226" i="21"/>
  <c r="AN226" i="21" s="1"/>
  <c r="P226" i="21"/>
  <c r="AL226" i="21" s="1"/>
  <c r="BE224" i="21"/>
  <c r="AO224" i="21"/>
  <c r="AI224" i="21"/>
  <c r="AC224" i="21"/>
  <c r="AF224" i="21" s="1"/>
  <c r="BB224" i="21" s="1"/>
  <c r="AB224" i="21"/>
  <c r="AX224" i="21" s="1"/>
  <c r="V224" i="21"/>
  <c r="AR224" i="21" s="1"/>
  <c r="U224" i="21"/>
  <c r="AQ224" i="21" s="1"/>
  <c r="T224" i="21"/>
  <c r="AP224" i="21" s="1"/>
  <c r="S224" i="21"/>
  <c r="P224" i="21"/>
  <c r="R224" i="21" s="1"/>
  <c r="AN224" i="21" s="1"/>
  <c r="AO223" i="21"/>
  <c r="AI223" i="21"/>
  <c r="BE223" i="21" s="1"/>
  <c r="AH223" i="21"/>
  <c r="BD223" i="21" s="1"/>
  <c r="AC223" i="21"/>
  <c r="AD223" i="21" s="1"/>
  <c r="AZ223" i="21" s="1"/>
  <c r="Z223" i="21"/>
  <c r="AV223" i="21" s="1"/>
  <c r="V223" i="21"/>
  <c r="T223" i="21" s="1"/>
  <c r="AP223" i="21" s="1"/>
  <c r="U223" i="21"/>
  <c r="AQ223" i="21" s="1"/>
  <c r="S223" i="21"/>
  <c r="R223" i="21"/>
  <c r="AN223" i="21" s="1"/>
  <c r="Q223" i="21"/>
  <c r="AM223" i="21" s="1"/>
  <c r="P223" i="21"/>
  <c r="AL223" i="21" s="1"/>
  <c r="AO222" i="21"/>
  <c r="AI222" i="21"/>
  <c r="AC222" i="21"/>
  <c r="AG222" i="21" s="1"/>
  <c r="BC222" i="21" s="1"/>
  <c r="V222" i="21"/>
  <c r="U222" i="21"/>
  <c r="AQ222" i="21" s="1"/>
  <c r="S222" i="21"/>
  <c r="R222" i="21"/>
  <c r="AN222" i="21" s="1"/>
  <c r="Q222" i="21"/>
  <c r="AM222" i="21" s="1"/>
  <c r="P222" i="21"/>
  <c r="AL222" i="21" s="1"/>
  <c r="AR220" i="21"/>
  <c r="AI220" i="21"/>
  <c r="AH220" i="21"/>
  <c r="BD220" i="21" s="1"/>
  <c r="AE220" i="21"/>
  <c r="BA220" i="21" s="1"/>
  <c r="AD220" i="21"/>
  <c r="AZ220" i="21" s="1"/>
  <c r="AC220" i="21"/>
  <c r="AY220" i="21" s="1"/>
  <c r="AA220" i="21"/>
  <c r="AW220" i="21" s="1"/>
  <c r="Z220" i="21"/>
  <c r="AV220" i="21" s="1"/>
  <c r="W220" i="21"/>
  <c r="AS220" i="21" s="1"/>
  <c r="V220" i="21"/>
  <c r="S220" i="21"/>
  <c r="R220" i="21"/>
  <c r="AN220" i="21" s="1"/>
  <c r="P220" i="21"/>
  <c r="AL220" i="21" s="1"/>
  <c r="BE219" i="21"/>
  <c r="AO219" i="21"/>
  <c r="AN219" i="21"/>
  <c r="AI219" i="21"/>
  <c r="AH219" i="21"/>
  <c r="BD219" i="21" s="1"/>
  <c r="AC219" i="21"/>
  <c r="AD219" i="21" s="1"/>
  <c r="AZ219" i="21" s="1"/>
  <c r="Z219" i="21"/>
  <c r="AV219" i="21" s="1"/>
  <c r="V219" i="21"/>
  <c r="U219" i="21"/>
  <c r="AQ219" i="21" s="1"/>
  <c r="S219" i="21"/>
  <c r="R219" i="21"/>
  <c r="Q219" i="21"/>
  <c r="AM219" i="21" s="1"/>
  <c r="P219" i="21"/>
  <c r="AL219" i="21" s="1"/>
  <c r="BE218" i="21"/>
  <c r="AO218" i="21"/>
  <c r="AI218" i="21"/>
  <c r="AG218" i="21"/>
  <c r="BC218" i="21" s="1"/>
  <c r="AC218" i="21"/>
  <c r="AB218" i="21"/>
  <c r="AX218" i="21" s="1"/>
  <c r="Y218" i="21"/>
  <c r="AU218" i="21" s="1"/>
  <c r="V218" i="21"/>
  <c r="AR218" i="21" s="1"/>
  <c r="U218" i="21"/>
  <c r="AQ218" i="21" s="1"/>
  <c r="T218" i="21"/>
  <c r="AP218" i="21" s="1"/>
  <c r="S218" i="21"/>
  <c r="P218" i="21"/>
  <c r="R218" i="21" s="1"/>
  <c r="AN218" i="21" s="1"/>
  <c r="J214" i="21"/>
  <c r="I214" i="21"/>
  <c r="H214" i="21"/>
  <c r="F214" i="21"/>
  <c r="K81" i="21" s="1"/>
  <c r="J213" i="21"/>
  <c r="I213" i="21"/>
  <c r="H213" i="21"/>
  <c r="F213" i="21"/>
  <c r="K77" i="21" s="1"/>
  <c r="K134" i="21" s="1"/>
  <c r="J195" i="21"/>
  <c r="L188" i="21"/>
  <c r="K188" i="21"/>
  <c r="J188" i="21"/>
  <c r="I188" i="21"/>
  <c r="H188" i="21"/>
  <c r="G188" i="21"/>
  <c r="F188" i="21"/>
  <c r="E188" i="21"/>
  <c r="L185" i="21"/>
  <c r="K185" i="21"/>
  <c r="J185" i="21"/>
  <c r="I185" i="21"/>
  <c r="G185" i="21"/>
  <c r="F185" i="21"/>
  <c r="L182" i="21"/>
  <c r="E182" i="21"/>
  <c r="L181" i="21"/>
  <c r="L183" i="21" s="1"/>
  <c r="K181" i="21"/>
  <c r="J181" i="21"/>
  <c r="I181" i="21"/>
  <c r="H181" i="21"/>
  <c r="G181" i="21"/>
  <c r="F181" i="21"/>
  <c r="I156" i="21"/>
  <c r="G113" i="21" s="1"/>
  <c r="H156" i="21"/>
  <c r="F113" i="21" s="1"/>
  <c r="I155" i="21"/>
  <c r="H155" i="21"/>
  <c r="G150" i="21"/>
  <c r="I149" i="21"/>
  <c r="H149" i="21"/>
  <c r="I120" i="21"/>
  <c r="H120" i="21"/>
  <c r="O118" i="21" s="1"/>
  <c r="I119" i="21"/>
  <c r="P118" i="21" s="1"/>
  <c r="H119" i="21"/>
  <c r="F119" i="21"/>
  <c r="G119" i="21" s="1"/>
  <c r="I108" i="21"/>
  <c r="H108" i="21"/>
  <c r="I107" i="21"/>
  <c r="P107" i="21" s="1"/>
  <c r="G107" i="21"/>
  <c r="F107" i="21"/>
  <c r="H107" i="21" s="1"/>
  <c r="O107" i="21" s="1"/>
  <c r="G106" i="21"/>
  <c r="G105" i="21"/>
  <c r="F105" i="21"/>
  <c r="I92" i="21"/>
  <c r="H92" i="21"/>
  <c r="H89" i="21"/>
  <c r="G89" i="21"/>
  <c r="F195" i="21" s="1"/>
  <c r="G88" i="21"/>
  <c r="G87" i="21"/>
  <c r="Q62" i="21"/>
  <c r="F41" i="21"/>
  <c r="F42" i="21" s="1"/>
  <c r="H36" i="21"/>
  <c r="G36" i="21"/>
  <c r="G35" i="21"/>
  <c r="H35" i="21" s="1"/>
  <c r="W18" i="21" s="1"/>
  <c r="W16" i="21" s="1"/>
  <c r="G34" i="21"/>
  <c r="H34" i="21" s="1"/>
  <c r="D32" i="21"/>
  <c r="L26" i="21"/>
  <c r="F24" i="21"/>
  <c r="F25" i="21" s="1"/>
  <c r="L30" i="21" s="1"/>
  <c r="P30" i="21" s="1"/>
  <c r="L23" i="21"/>
  <c r="L20" i="21"/>
  <c r="L33" i="21" s="1"/>
  <c r="H20" i="21"/>
  <c r="W19" i="21"/>
  <c r="V19" i="21"/>
  <c r="W17" i="21"/>
  <c r="V17" i="21"/>
  <c r="L17" i="21"/>
  <c r="L16" i="21"/>
  <c r="L45" i="21" s="1"/>
  <c r="P45" i="21" s="1"/>
  <c r="L15" i="21"/>
  <c r="L18" i="21" s="1"/>
  <c r="L14" i="21"/>
  <c r="L13" i="21"/>
  <c r="L12" i="21"/>
  <c r="L11" i="21"/>
  <c r="F44" i="21" s="1"/>
  <c r="AA8" i="21"/>
  <c r="Z8" i="21"/>
  <c r="Y8" i="21"/>
  <c r="S8" i="21"/>
  <c r="R8" i="21"/>
  <c r="Q8" i="21"/>
  <c r="P8" i="21"/>
  <c r="L42" i="21" l="1"/>
  <c r="L21" i="21"/>
  <c r="L24" i="21" s="1"/>
  <c r="L194" i="21"/>
  <c r="L187" i="21"/>
  <c r="AG226" i="21"/>
  <c r="BC226" i="21" s="1"/>
  <c r="AF226" i="21"/>
  <c r="BB226" i="21" s="1"/>
  <c r="J135" i="23"/>
  <c r="J136" i="23" s="1"/>
  <c r="J125" i="23"/>
  <c r="J126" i="23"/>
  <c r="J127" i="23" s="1"/>
  <c r="J128" i="23" s="1"/>
  <c r="J129" i="23" s="1"/>
  <c r="J130" i="23" s="1"/>
  <c r="J131" i="23" s="1"/>
  <c r="J132" i="23" s="1"/>
  <c r="J133" i="23" s="1"/>
  <c r="E195" i="21"/>
  <c r="T222" i="21"/>
  <c r="AP222" i="21" s="1"/>
  <c r="AR222" i="21"/>
  <c r="AL224" i="21"/>
  <c r="W226" i="21"/>
  <c r="AS226" i="21" s="1"/>
  <c r="AD226" i="21"/>
  <c r="AZ226" i="21" s="1"/>
  <c r="R227" i="21"/>
  <c r="AN227" i="21" s="1"/>
  <c r="AO227" i="21"/>
  <c r="U227" i="21"/>
  <c r="AQ227" i="21" s="1"/>
  <c r="Q227" i="21"/>
  <c r="AM227" i="21" s="1"/>
  <c r="Q218" i="21"/>
  <c r="AM218" i="21" s="1"/>
  <c r="AY218" i="21"/>
  <c r="AE218" i="21"/>
  <c r="BA218" i="21" s="1"/>
  <c r="AA218" i="21"/>
  <c r="AW218" i="21" s="1"/>
  <c r="W218" i="21"/>
  <c r="AS218" i="21" s="1"/>
  <c r="AH218" i="21"/>
  <c r="BD218" i="21" s="1"/>
  <c r="AD218" i="21"/>
  <c r="AZ218" i="21" s="1"/>
  <c r="Z218" i="21"/>
  <c r="AV218" i="21" s="1"/>
  <c r="AL218" i="21"/>
  <c r="T219" i="21"/>
  <c r="AP219" i="21" s="1"/>
  <c r="AR219" i="21"/>
  <c r="AO220" i="21"/>
  <c r="Q220" i="21"/>
  <c r="AM220" i="21" s="1"/>
  <c r="Y222" i="21"/>
  <c r="AU222" i="21" s="1"/>
  <c r="X224" i="21"/>
  <c r="AT224" i="21" s="1"/>
  <c r="Z226" i="21"/>
  <c r="AV226" i="21" s="1"/>
  <c r="AE226" i="21"/>
  <c r="BA226" i="21" s="1"/>
  <c r="T227" i="21"/>
  <c r="AP227" i="21" s="1"/>
  <c r="Y228" i="21"/>
  <c r="AU228" i="21" s="1"/>
  <c r="U228" i="21"/>
  <c r="AQ228" i="21" s="1"/>
  <c r="T228" i="21"/>
  <c r="AP228" i="21" s="1"/>
  <c r="Z228" i="21"/>
  <c r="AV228" i="21" s="1"/>
  <c r="AR228" i="21"/>
  <c r="W228" i="21"/>
  <c r="AS228" i="21" s="1"/>
  <c r="BE228" i="21"/>
  <c r="AG228" i="21"/>
  <c r="BC228" i="21" s="1"/>
  <c r="AF228" i="21"/>
  <c r="BB228" i="21" s="1"/>
  <c r="AE228" i="21"/>
  <c r="BA228" i="21" s="1"/>
  <c r="AD228" i="21"/>
  <c r="AZ228" i="21" s="1"/>
  <c r="AY230" i="21"/>
  <c r="AE230" i="21"/>
  <c r="BA230" i="21" s="1"/>
  <c r="AA230" i="21"/>
  <c r="AW230" i="21" s="1"/>
  <c r="W230" i="21"/>
  <c r="AS230" i="21" s="1"/>
  <c r="Z230" i="21"/>
  <c r="AV230" i="21" s="1"/>
  <c r="AG230" i="21"/>
  <c r="BC230" i="21" s="1"/>
  <c r="Y230" i="21"/>
  <c r="AU230" i="21" s="1"/>
  <c r="AF230" i="21"/>
  <c r="BB230" i="21" s="1"/>
  <c r="X230" i="21"/>
  <c r="AT230" i="21" s="1"/>
  <c r="AB222" i="21"/>
  <c r="AX222" i="21" s="1"/>
  <c r="X222" i="21"/>
  <c r="AT222" i="21" s="1"/>
  <c r="AE222" i="21"/>
  <c r="BA222" i="21" s="1"/>
  <c r="AA222" i="21"/>
  <c r="AW222" i="21" s="1"/>
  <c r="W222" i="21"/>
  <c r="AS222" i="21" s="1"/>
  <c r="AF222" i="21"/>
  <c r="BB222" i="21" s="1"/>
  <c r="Y226" i="21"/>
  <c r="AU226" i="21" s="1"/>
  <c r="U226" i="21"/>
  <c r="AQ226" i="21" s="1"/>
  <c r="AB226" i="21"/>
  <c r="AX226" i="21" s="1"/>
  <c r="X226" i="21"/>
  <c r="AT226" i="21" s="1"/>
  <c r="T226" i="21"/>
  <c r="AP226" i="21" s="1"/>
  <c r="R231" i="21"/>
  <c r="AN231" i="21" s="1"/>
  <c r="AO231" i="21"/>
  <c r="Q231" i="21"/>
  <c r="AM231" i="21" s="1"/>
  <c r="T231" i="21"/>
  <c r="AP231" i="21" s="1"/>
  <c r="T232" i="21"/>
  <c r="AP232" i="21" s="1"/>
  <c r="AR232" i="21"/>
  <c r="U232" i="21"/>
  <c r="AQ232" i="21" s="1"/>
  <c r="Z232" i="21"/>
  <c r="AV232" i="21" s="1"/>
  <c r="N86" i="23"/>
  <c r="F43" i="21"/>
  <c r="L195" i="21"/>
  <c r="H195" i="21"/>
  <c r="I89" i="21"/>
  <c r="K195" i="21"/>
  <c r="G195" i="21"/>
  <c r="AB219" i="21"/>
  <c r="AX219" i="21" s="1"/>
  <c r="X219" i="21"/>
  <c r="AT219" i="21" s="1"/>
  <c r="AY219" i="21"/>
  <c r="AE219" i="21"/>
  <c r="BA219" i="21" s="1"/>
  <c r="AA219" i="21"/>
  <c r="AW219" i="21" s="1"/>
  <c r="W219" i="21"/>
  <c r="AS219" i="21" s="1"/>
  <c r="AF219" i="21"/>
  <c r="BB219" i="21" s="1"/>
  <c r="AD222" i="21"/>
  <c r="AZ222" i="21" s="1"/>
  <c r="AB223" i="21"/>
  <c r="AX223" i="21" s="1"/>
  <c r="X223" i="21"/>
  <c r="AT223" i="21" s="1"/>
  <c r="AY223" i="21"/>
  <c r="AE223" i="21"/>
  <c r="BA223" i="21" s="1"/>
  <c r="AA223" i="21"/>
  <c r="AW223" i="21" s="1"/>
  <c r="W223" i="21"/>
  <c r="AS223" i="21" s="1"/>
  <c r="Q224" i="21"/>
  <c r="AM224" i="21" s="1"/>
  <c r="AY224" i="21"/>
  <c r="AE224" i="21"/>
  <c r="BA224" i="21" s="1"/>
  <c r="AA224" i="21"/>
  <c r="AW224" i="21" s="1"/>
  <c r="W224" i="21"/>
  <c r="AS224" i="21" s="1"/>
  <c r="AH224" i="21"/>
  <c r="BD224" i="21" s="1"/>
  <c r="AD224" i="21"/>
  <c r="AZ224" i="21" s="1"/>
  <c r="Z224" i="21"/>
  <c r="AV224" i="21" s="1"/>
  <c r="AO228" i="21"/>
  <c r="Q228" i="21"/>
  <c r="AM228" i="21" s="1"/>
  <c r="R228" i="21"/>
  <c r="AN228" i="21" s="1"/>
  <c r="F97" i="23"/>
  <c r="AP101" i="23"/>
  <c r="V18" i="21"/>
  <c r="AD97" i="23"/>
  <c r="I195" i="21"/>
  <c r="X218" i="21"/>
  <c r="AT218" i="21" s="1"/>
  <c r="AF218" i="21"/>
  <c r="BB218" i="21" s="1"/>
  <c r="Y219" i="21"/>
  <c r="AU219" i="21" s="1"/>
  <c r="AG219" i="21"/>
  <c r="BC219" i="21" s="1"/>
  <c r="Y220" i="21"/>
  <c r="AU220" i="21" s="1"/>
  <c r="U220" i="21"/>
  <c r="AQ220" i="21" s="1"/>
  <c r="AB220" i="21"/>
  <c r="AX220" i="21" s="1"/>
  <c r="X220" i="21"/>
  <c r="AT220" i="21" s="1"/>
  <c r="T220" i="21"/>
  <c r="AP220" i="21" s="1"/>
  <c r="AG220" i="21"/>
  <c r="BC220" i="21" s="1"/>
  <c r="BE220" i="21"/>
  <c r="AF220" i="21"/>
  <c r="BB220" i="21" s="1"/>
  <c r="Z222" i="21"/>
  <c r="AV222" i="21" s="1"/>
  <c r="AH222" i="21"/>
  <c r="BD222" i="21" s="1"/>
  <c r="AY222" i="21"/>
  <c r="Y223" i="21"/>
  <c r="AU223" i="21" s="1"/>
  <c r="AG223" i="21"/>
  <c r="BC223" i="21" s="1"/>
  <c r="AR223" i="21"/>
  <c r="Y224" i="21"/>
  <c r="AU224" i="21" s="1"/>
  <c r="AG224" i="21"/>
  <c r="BC224" i="21" s="1"/>
  <c r="AA226" i="21"/>
  <c r="AW226" i="21" s="1"/>
  <c r="AH226" i="21"/>
  <c r="BD226" i="21" s="1"/>
  <c r="BE226" i="21"/>
  <c r="AY227" i="21"/>
  <c r="AF227" i="21"/>
  <c r="BB227" i="21" s="1"/>
  <c r="AE227" i="21"/>
  <c r="BA227" i="21" s="1"/>
  <c r="AA227" i="21"/>
  <c r="AW227" i="21" s="1"/>
  <c r="AG227" i="21"/>
  <c r="BC227" i="21" s="1"/>
  <c r="Z227" i="21"/>
  <c r="AV227" i="21" s="1"/>
  <c r="AD227" i="21"/>
  <c r="AZ227" i="21" s="1"/>
  <c r="Y227" i="21"/>
  <c r="AU227" i="21" s="1"/>
  <c r="AA228" i="21"/>
  <c r="AW228" i="21" s="1"/>
  <c r="AH230" i="21"/>
  <c r="BD230" i="21" s="1"/>
  <c r="AB86" i="23"/>
  <c r="X86" i="23"/>
  <c r="T86" i="23"/>
  <c r="P86" i="23"/>
  <c r="L86" i="23"/>
  <c r="AA86" i="23"/>
  <c r="W86" i="23"/>
  <c r="S86" i="23"/>
  <c r="O86" i="23"/>
  <c r="D87" i="23"/>
  <c r="AC86" i="23"/>
  <c r="U86" i="23"/>
  <c r="M86" i="23"/>
  <c r="Z86" i="23"/>
  <c r="R86" i="23"/>
  <c r="J86" i="23"/>
  <c r="Y86" i="23"/>
  <c r="BE222" i="21"/>
  <c r="R230" i="21"/>
  <c r="AN230" i="21" s="1"/>
  <c r="C137" i="23"/>
  <c r="H84" i="23"/>
  <c r="AF223" i="21"/>
  <c r="BB223" i="21" s="1"/>
  <c r="AH231" i="21"/>
  <c r="BD231" i="21" s="1"/>
  <c r="AD231" i="21"/>
  <c r="AZ231" i="21" s="1"/>
  <c r="BE231" i="21"/>
  <c r="AG231" i="21"/>
  <c r="BC231" i="21" s="1"/>
  <c r="AY232" i="21"/>
  <c r="AF232" i="21"/>
  <c r="BB232" i="21" s="1"/>
  <c r="AB232" i="21"/>
  <c r="AX232" i="21" s="1"/>
  <c r="X232" i="21"/>
  <c r="AT232" i="21" s="1"/>
  <c r="AE232" i="21"/>
  <c r="BA232" i="21" s="1"/>
  <c r="AA232" i="21"/>
  <c r="AW232" i="21" s="1"/>
  <c r="W232" i="21"/>
  <c r="AS232" i="21" s="1"/>
  <c r="X228" i="21"/>
  <c r="AT228" i="21" s="1"/>
  <c r="AB228" i="21"/>
  <c r="AX228" i="21" s="1"/>
  <c r="AD230" i="21"/>
  <c r="AZ230" i="21" s="1"/>
  <c r="U231" i="21"/>
  <c r="AQ231" i="21" s="1"/>
  <c r="Y231" i="21"/>
  <c r="AU231" i="21" s="1"/>
  <c r="Z231" i="21"/>
  <c r="AV231" i="21" s="1"/>
  <c r="L134" i="23"/>
  <c r="L135" i="23" s="1"/>
  <c r="L136" i="23" s="1"/>
  <c r="L137" i="23"/>
  <c r="L138" i="23" s="1"/>
  <c r="L139" i="23" s="1"/>
  <c r="N59" i="21"/>
  <c r="N63" i="21" s="1"/>
  <c r="M59" i="21"/>
  <c r="M63" i="21" s="1"/>
  <c r="L59" i="21"/>
  <c r="L61" i="21" s="1"/>
  <c r="O187" i="21"/>
  <c r="F127" i="21"/>
  <c r="G127" i="21" s="1"/>
  <c r="L214" i="21"/>
  <c r="F249" i="21"/>
  <c r="K137" i="21"/>
  <c r="K121" i="21"/>
  <c r="G121" i="21" s="1"/>
  <c r="I121" i="21" s="1"/>
  <c r="K98" i="21"/>
  <c r="K147" i="21"/>
  <c r="K109" i="21"/>
  <c r="K91" i="21"/>
  <c r="K79" i="21"/>
  <c r="K90" i="21"/>
  <c r="L124" i="21"/>
  <c r="F124" i="21" s="1"/>
  <c r="E194" i="21"/>
  <c r="L86" i="21"/>
  <c r="F86" i="21" s="1"/>
  <c r="J182" i="21"/>
  <c r="J183" i="21" s="1"/>
  <c r="J187" i="21" s="1"/>
  <c r="F182" i="21"/>
  <c r="F183" i="21" s="1"/>
  <c r="F187" i="21" s="1"/>
  <c r="H7" i="21" s="1"/>
  <c r="K182" i="21"/>
  <c r="K183" i="21" s="1"/>
  <c r="E185" i="21"/>
  <c r="L95" i="21" s="1"/>
  <c r="L96" i="21" s="1"/>
  <c r="G182" i="21"/>
  <c r="G183" i="21" s="1"/>
  <c r="G187" i="21" s="1"/>
  <c r="H182" i="21"/>
  <c r="H183" i="21" s="1"/>
  <c r="H187" i="21" s="1"/>
  <c r="I182" i="21"/>
  <c r="I183" i="21" s="1"/>
  <c r="I194" i="21" s="1"/>
  <c r="L85" i="21"/>
  <c r="O188" i="21" s="1"/>
  <c r="AD99" i="23"/>
  <c r="AD101" i="23"/>
  <c r="AD100" i="23"/>
  <c r="AD98" i="23"/>
  <c r="AP102" i="23" l="1"/>
  <c r="AD102" i="23" s="1"/>
  <c r="F98" i="23"/>
  <c r="F49" i="21"/>
  <c r="F20" i="21" s="1"/>
  <c r="L27" i="21"/>
  <c r="AA87" i="23"/>
  <c r="W87" i="23"/>
  <c r="S87" i="23"/>
  <c r="O87" i="23"/>
  <c r="Z87" i="23"/>
  <c r="V87" i="23"/>
  <c r="R87" i="23"/>
  <c r="N87" i="23"/>
  <c r="J87" i="23"/>
  <c r="X87" i="23"/>
  <c r="P87" i="23"/>
  <c r="D88" i="23"/>
  <c r="AC87" i="23"/>
  <c r="U87" i="23"/>
  <c r="M87" i="23"/>
  <c r="Y87" i="23"/>
  <c r="AB87" i="23"/>
  <c r="T87" i="23"/>
  <c r="Q87" i="23"/>
  <c r="L87" i="23"/>
  <c r="K137" i="23"/>
  <c r="D137" i="23"/>
  <c r="J137" i="23"/>
  <c r="I137" i="23"/>
  <c r="V16" i="21"/>
  <c r="V20" i="21"/>
  <c r="L43" i="21"/>
  <c r="C138" i="23"/>
  <c r="H85" i="23"/>
  <c r="N61" i="21"/>
  <c r="N64" i="21" s="1"/>
  <c r="M61" i="21"/>
  <c r="M64" i="21" s="1"/>
  <c r="L63" i="21"/>
  <c r="L64" i="21" s="1"/>
  <c r="P42" i="21" s="1"/>
  <c r="P119" i="21"/>
  <c r="O108" i="21"/>
  <c r="O119" i="21"/>
  <c r="P108" i="21"/>
  <c r="O149" i="21"/>
  <c r="Y16" i="21"/>
  <c r="P149" i="21"/>
  <c r="Z16" i="21"/>
  <c r="Y11" i="21"/>
  <c r="D117" i="25"/>
  <c r="L117" i="25"/>
  <c r="F121" i="21"/>
  <c r="H121" i="21" s="1"/>
  <c r="G109" i="21"/>
  <c r="I109" i="21" s="1"/>
  <c r="P109" i="21" s="1"/>
  <c r="F109" i="21"/>
  <c r="H109" i="21" s="1"/>
  <c r="O109" i="21" s="1"/>
  <c r="F90" i="21"/>
  <c r="K189" i="21" s="1"/>
  <c r="J194" i="21"/>
  <c r="I249" i="21"/>
  <c r="O117" i="25" s="1"/>
  <c r="K194" i="21"/>
  <c r="K187" i="21"/>
  <c r="I187" i="21"/>
  <c r="H194" i="21"/>
  <c r="G194" i="21"/>
  <c r="F194" i="21"/>
  <c r="L97" i="21"/>
  <c r="L215" i="21"/>
  <c r="G85" i="21"/>
  <c r="F85" i="21"/>
  <c r="G124" i="21"/>
  <c r="H88" i="21"/>
  <c r="G86" i="21"/>
  <c r="N16" i="21"/>
  <c r="C139" i="23" l="1"/>
  <c r="H86" i="23"/>
  <c r="Z88" i="23"/>
  <c r="V88" i="23"/>
  <c r="R88" i="23"/>
  <c r="N88" i="23"/>
  <c r="J88" i="23"/>
  <c r="D89" i="23"/>
  <c r="AC88" i="23"/>
  <c r="Y88" i="23"/>
  <c r="U88" i="23"/>
  <c r="Q88" i="23"/>
  <c r="M88" i="23"/>
  <c r="AA88" i="23"/>
  <c r="S88" i="23"/>
  <c r="X88" i="23"/>
  <c r="P88" i="23"/>
  <c r="W88" i="23"/>
  <c r="AB88" i="23"/>
  <c r="T88" i="23"/>
  <c r="O88" i="23"/>
  <c r="L88" i="23"/>
  <c r="K138" i="23"/>
  <c r="I138" i="23"/>
  <c r="J138" i="23"/>
  <c r="D138" i="23"/>
  <c r="F99" i="23"/>
  <c r="AP103" i="23"/>
  <c r="AD103" i="23" s="1"/>
  <c r="P11" i="21"/>
  <c r="P24" i="21"/>
  <c r="P27" i="21"/>
  <c r="P31" i="21" s="1"/>
  <c r="P18" i="21"/>
  <c r="P21" i="21"/>
  <c r="P23" i="21"/>
  <c r="P43" i="21"/>
  <c r="P20" i="21"/>
  <c r="P15" i="21"/>
  <c r="P26" i="21"/>
  <c r="P46" i="21"/>
  <c r="L266" i="21"/>
  <c r="G266" i="21"/>
  <c r="J266" i="21"/>
  <c r="E266" i="21"/>
  <c r="Y20" i="21"/>
  <c r="G117" i="25"/>
  <c r="H90" i="21"/>
  <c r="O90" i="21" s="1"/>
  <c r="O91" i="21" s="1"/>
  <c r="G189" i="21"/>
  <c r="H189" i="21"/>
  <c r="F189" i="21"/>
  <c r="H8" i="21" s="1"/>
  <c r="I189" i="21"/>
  <c r="J189" i="21"/>
  <c r="L189" i="21"/>
  <c r="E189" i="21"/>
  <c r="I88" i="21"/>
  <c r="K86" i="23" l="1"/>
  <c r="H87" i="23"/>
  <c r="AP104" i="23"/>
  <c r="AD104" i="23" s="1"/>
  <c r="F100" i="23"/>
  <c r="I139" i="23"/>
  <c r="D139" i="23"/>
  <c r="K139" i="23"/>
  <c r="J139" i="23"/>
  <c r="G138" i="23"/>
  <c r="AC89" i="23"/>
  <c r="Y89" i="23"/>
  <c r="U89" i="23"/>
  <c r="Q89" i="23"/>
  <c r="M89" i="23"/>
  <c r="AB89" i="23"/>
  <c r="X89" i="23"/>
  <c r="T89" i="23"/>
  <c r="P89" i="23"/>
  <c r="L89" i="23"/>
  <c r="W89" i="23"/>
  <c r="O89" i="23"/>
  <c r="D90" i="23"/>
  <c r="V89" i="23"/>
  <c r="N89" i="23"/>
  <c r="S89" i="23"/>
  <c r="Z89" i="23"/>
  <c r="R89" i="23"/>
  <c r="AA89" i="23"/>
  <c r="J89" i="23"/>
  <c r="N17" i="21"/>
  <c r="N15" i="21" s="1"/>
  <c r="E255" i="21"/>
  <c r="E265" i="21"/>
  <c r="G134" i="23" l="1"/>
  <c r="G132" i="23"/>
  <c r="G131" i="23"/>
  <c r="G130" i="23"/>
  <c r="G129" i="23"/>
  <c r="G128" i="23"/>
  <c r="G127" i="23"/>
  <c r="G126" i="23"/>
  <c r="G125" i="23"/>
  <c r="G133" i="23"/>
  <c r="G124" i="23"/>
  <c r="G135" i="23"/>
  <c r="G136" i="23"/>
  <c r="G137" i="23"/>
  <c r="K87" i="23"/>
  <c r="H88" i="23"/>
  <c r="AA90" i="23"/>
  <c r="W90" i="23"/>
  <c r="S90" i="23"/>
  <c r="O90" i="23"/>
  <c r="D91" i="23"/>
  <c r="Z90" i="23"/>
  <c r="V90" i="23"/>
  <c r="R90" i="23"/>
  <c r="N90" i="23"/>
  <c r="J90" i="23"/>
  <c r="Y90" i="23"/>
  <c r="Q90" i="23"/>
  <c r="X90" i="23"/>
  <c r="P90" i="23"/>
  <c r="T90" i="23"/>
  <c r="U90" i="23"/>
  <c r="AC90" i="23"/>
  <c r="M90" i="23"/>
  <c r="AB90" i="23"/>
  <c r="L90" i="23"/>
  <c r="AP105" i="23"/>
  <c r="AD105" i="23" s="1"/>
  <c r="F101" i="23"/>
  <c r="R15" i="21"/>
  <c r="H89" i="23" l="1"/>
  <c r="K88" i="23"/>
  <c r="AP106" i="23"/>
  <c r="AD106" i="23" s="1"/>
  <c r="F102" i="23"/>
  <c r="AC91" i="23"/>
  <c r="Y91" i="23"/>
  <c r="U91" i="23"/>
  <c r="Q91" i="23"/>
  <c r="M91" i="23"/>
  <c r="AB91" i="23"/>
  <c r="X91" i="23"/>
  <c r="T91" i="23"/>
  <c r="P91" i="23"/>
  <c r="L91" i="23"/>
  <c r="D92" i="23"/>
  <c r="V91" i="23"/>
  <c r="N91" i="23"/>
  <c r="AA91" i="23"/>
  <c r="S91" i="23"/>
  <c r="O91" i="23"/>
  <c r="Z91" i="23"/>
  <c r="J91" i="23"/>
  <c r="W91" i="23"/>
  <c r="R91" i="23"/>
  <c r="H162" i="21"/>
  <c r="L162" i="21" s="1"/>
  <c r="AA92" i="23" l="1"/>
  <c r="W92" i="23"/>
  <c r="S92" i="23"/>
  <c r="O92" i="23"/>
  <c r="D93" i="23"/>
  <c r="Z92" i="23"/>
  <c r="V92" i="23"/>
  <c r="R92" i="23"/>
  <c r="N92" i="23"/>
  <c r="J92" i="23"/>
  <c r="X92" i="23"/>
  <c r="P92" i="23"/>
  <c r="AC92" i="23"/>
  <c r="U92" i="23"/>
  <c r="M92" i="23"/>
  <c r="AB92" i="23"/>
  <c r="L92" i="23"/>
  <c r="T92" i="23"/>
  <c r="Q92" i="23"/>
  <c r="Y92" i="23"/>
  <c r="AP107" i="23"/>
  <c r="AD107" i="23" s="1"/>
  <c r="F103" i="23"/>
  <c r="H90" i="23"/>
  <c r="K89" i="23"/>
  <c r="AE89" i="23" s="1"/>
  <c r="F163" i="21"/>
  <c r="H163" i="21" s="1"/>
  <c r="L163" i="21" s="1"/>
  <c r="H91" i="23" l="1"/>
  <c r="K90" i="23"/>
  <c r="AE90" i="23" s="1"/>
  <c r="AP108" i="23"/>
  <c r="AD108" i="23" s="1"/>
  <c r="F104" i="23"/>
  <c r="AB93" i="23"/>
  <c r="X93" i="23"/>
  <c r="T93" i="23"/>
  <c r="P93" i="23"/>
  <c r="L93" i="23"/>
  <c r="AA93" i="23"/>
  <c r="W93" i="23"/>
  <c r="S93" i="23"/>
  <c r="O93" i="23"/>
  <c r="Y93" i="23"/>
  <c r="Q93" i="23"/>
  <c r="D94" i="23"/>
  <c r="V93" i="23"/>
  <c r="N93" i="23"/>
  <c r="U93" i="23"/>
  <c r="M93" i="23"/>
  <c r="Z93" i="23"/>
  <c r="J93" i="23"/>
  <c r="R93" i="23"/>
  <c r="AC93" i="23"/>
  <c r="AP109" i="23" l="1"/>
  <c r="AD109" i="23" s="1"/>
  <c r="F105" i="23"/>
  <c r="AC94" i="23"/>
  <c r="Y94" i="23"/>
  <c r="U94" i="23"/>
  <c r="Q94" i="23"/>
  <c r="M94" i="23"/>
  <c r="AB94" i="23"/>
  <c r="X94" i="23"/>
  <c r="T94" i="23"/>
  <c r="P94" i="23"/>
  <c r="L94" i="23"/>
  <c r="W94" i="23"/>
  <c r="O94" i="23"/>
  <c r="D95" i="23"/>
  <c r="V94" i="23"/>
  <c r="N94" i="23"/>
  <c r="AA94" i="23"/>
  <c r="R94" i="23"/>
  <c r="Z94" i="23"/>
  <c r="J94" i="23"/>
  <c r="S94" i="23"/>
  <c r="K91" i="23"/>
  <c r="AE91" i="23" s="1"/>
  <c r="H92" i="23"/>
  <c r="K92" i="23" l="1"/>
  <c r="AE92" i="23" s="1"/>
  <c r="H93" i="23"/>
  <c r="D96" i="23"/>
  <c r="Z95" i="23"/>
  <c r="V95" i="23"/>
  <c r="R95" i="23"/>
  <c r="N95" i="23"/>
  <c r="J95" i="23"/>
  <c r="AC95" i="23"/>
  <c r="Y95" i="23"/>
  <c r="U95" i="23"/>
  <c r="Q95" i="23"/>
  <c r="M95" i="23"/>
  <c r="X95" i="23"/>
  <c r="P95" i="23"/>
  <c r="W95" i="23"/>
  <c r="O95" i="23"/>
  <c r="T95" i="23"/>
  <c r="AA95" i="23"/>
  <c r="S95" i="23"/>
  <c r="AB95" i="23"/>
  <c r="L95" i="23"/>
  <c r="AP110" i="23"/>
  <c r="AD110" i="23" s="1"/>
  <c r="F106" i="23"/>
  <c r="AA96" i="23" l="1"/>
  <c r="W96" i="23"/>
  <c r="S96" i="23"/>
  <c r="O96" i="23"/>
  <c r="D97" i="23"/>
  <c r="Z96" i="23"/>
  <c r="V96" i="23"/>
  <c r="R96" i="23"/>
  <c r="N96" i="23"/>
  <c r="J96" i="23"/>
  <c r="AB96" i="23"/>
  <c r="T96" i="23"/>
  <c r="L96" i="23"/>
  <c r="Y96" i="23"/>
  <c r="Q96" i="23"/>
  <c r="P96" i="23"/>
  <c r="AC96" i="23"/>
  <c r="M96" i="23"/>
  <c r="X96" i="23"/>
  <c r="U96" i="23"/>
  <c r="H94" i="23"/>
  <c r="K93" i="23"/>
  <c r="AE93" i="23" s="1"/>
  <c r="AP111" i="23"/>
  <c r="AD111" i="23" s="1"/>
  <c r="F107" i="23"/>
  <c r="AP112" i="23" l="1"/>
  <c r="AD112" i="23" s="1"/>
  <c r="F108" i="23"/>
  <c r="F109" i="23" s="1"/>
  <c r="F110" i="23" s="1"/>
  <c r="F111" i="23" s="1"/>
  <c r="F112" i="23" s="1"/>
  <c r="H95" i="23"/>
  <c r="K94" i="23"/>
  <c r="AE94" i="23" s="1"/>
  <c r="D98" i="23"/>
  <c r="AB97" i="23"/>
  <c r="X97" i="23"/>
  <c r="T97" i="23"/>
  <c r="P97" i="23"/>
  <c r="L97" i="23"/>
  <c r="AA97" i="23"/>
  <c r="W97" i="23"/>
  <c r="S97" i="23"/>
  <c r="O97" i="23"/>
  <c r="V97" i="23"/>
  <c r="N97" i="23"/>
  <c r="AC97" i="23"/>
  <c r="U97" i="23"/>
  <c r="M97" i="23"/>
  <c r="Z97" i="23"/>
  <c r="J97" i="23"/>
  <c r="R97" i="23"/>
  <c r="Q97" i="23"/>
  <c r="Y97" i="23"/>
  <c r="G24" i="21" l="1"/>
  <c r="Y117" i="23"/>
  <c r="G22" i="21"/>
  <c r="W117" i="23"/>
  <c r="E62" i="21" s="1"/>
  <c r="G10" i="21"/>
  <c r="M117" i="23"/>
  <c r="G27" i="21"/>
  <c r="H27" i="21" s="1"/>
  <c r="F138" i="21" s="1"/>
  <c r="H138" i="21" s="1"/>
  <c r="AA117" i="23"/>
  <c r="E61" i="21" s="1"/>
  <c r="G6" i="21"/>
  <c r="R117" i="23"/>
  <c r="E56" i="21" s="1"/>
  <c r="U117" i="23"/>
  <c r="G14" i="21"/>
  <c r="H14" i="21" s="1"/>
  <c r="G7" i="21"/>
  <c r="M16" i="21" s="1"/>
  <c r="L117" i="23"/>
  <c r="G18" i="21"/>
  <c r="AB117" i="23"/>
  <c r="G23" i="21"/>
  <c r="H23" i="21" s="1"/>
  <c r="F82" i="21" s="1"/>
  <c r="H82" i="21" s="1"/>
  <c r="Z117" i="23"/>
  <c r="E60" i="21" s="1"/>
  <c r="G12" i="21"/>
  <c r="N117" i="23"/>
  <c r="G11" i="21"/>
  <c r="H11" i="21" s="1"/>
  <c r="T117" i="23"/>
  <c r="G5" i="21"/>
  <c r="Q117" i="23"/>
  <c r="G16" i="21"/>
  <c r="H16" i="21" s="1"/>
  <c r="V117" i="23"/>
  <c r="G26" i="21"/>
  <c r="H26" i="21" s="1"/>
  <c r="X117" i="23"/>
  <c r="H96" i="23"/>
  <c r="K95" i="23"/>
  <c r="AE95" i="23" s="1"/>
  <c r="G13" i="21"/>
  <c r="H13" i="21" s="1"/>
  <c r="O117" i="23"/>
  <c r="E59" i="21" s="1"/>
  <c r="AC117" i="23"/>
  <c r="G8" i="21"/>
  <c r="S117" i="23"/>
  <c r="G15" i="21"/>
  <c r="H15" i="21" s="1"/>
  <c r="P117" i="23"/>
  <c r="AA98" i="23"/>
  <c r="W98" i="23"/>
  <c r="S98" i="23"/>
  <c r="O98" i="23"/>
  <c r="Z98" i="23"/>
  <c r="V98" i="23"/>
  <c r="R98" i="23"/>
  <c r="N98" i="23"/>
  <c r="J98" i="23"/>
  <c r="AC98" i="23"/>
  <c r="U98" i="23"/>
  <c r="M98" i="23"/>
  <c r="AB98" i="23"/>
  <c r="T98" i="23"/>
  <c r="L98" i="23"/>
  <c r="Q98" i="23"/>
  <c r="X98" i="23"/>
  <c r="D99" i="23"/>
  <c r="P98" i="23"/>
  <c r="Y98" i="23"/>
  <c r="AD119" i="23"/>
  <c r="F65" i="21" s="1"/>
  <c r="AD118" i="23"/>
  <c r="I35" i="21"/>
  <c r="X18" i="21" s="1"/>
  <c r="I34" i="21"/>
  <c r="X17" i="21" s="1"/>
  <c r="F212" i="21"/>
  <c r="K95" i="21" s="1"/>
  <c r="J212" i="21"/>
  <c r="H212" i="21"/>
  <c r="I212" i="21"/>
  <c r="Z99" i="23" l="1"/>
  <c r="V99" i="23"/>
  <c r="R99" i="23"/>
  <c r="N99" i="23"/>
  <c r="J99" i="23"/>
  <c r="AC99" i="23"/>
  <c r="Y99" i="23"/>
  <c r="U99" i="23"/>
  <c r="Q99" i="23"/>
  <c r="M99" i="23"/>
  <c r="AB99" i="23"/>
  <c r="T99" i="23"/>
  <c r="L99" i="23"/>
  <c r="AA99" i="23"/>
  <c r="S99" i="23"/>
  <c r="X99" i="23"/>
  <c r="P99" i="23"/>
  <c r="W99" i="23"/>
  <c r="D100" i="23"/>
  <c r="O99" i="23"/>
  <c r="M23" i="21"/>
  <c r="H12" i="21"/>
  <c r="N23" i="21" s="1"/>
  <c r="M30" i="21"/>
  <c r="Q30" i="21" s="1"/>
  <c r="H22" i="21"/>
  <c r="V26" i="21"/>
  <c r="Y26" i="21" s="1"/>
  <c r="M20" i="21"/>
  <c r="Q20" i="21" s="1"/>
  <c r="H10" i="21"/>
  <c r="N20" i="21" s="1"/>
  <c r="E57" i="21"/>
  <c r="E58" i="21"/>
  <c r="H6" i="21"/>
  <c r="M14" i="21"/>
  <c r="G25" i="21"/>
  <c r="H24" i="21"/>
  <c r="M17" i="21"/>
  <c r="M45" i="21" s="1"/>
  <c r="Q45" i="21" s="1"/>
  <c r="G90" i="21"/>
  <c r="F135" i="21"/>
  <c r="F133" i="21"/>
  <c r="K96" i="23"/>
  <c r="AE96" i="23" s="1"/>
  <c r="H97" i="23"/>
  <c r="M13" i="21"/>
  <c r="W13" i="21" s="1"/>
  <c r="H5" i="21"/>
  <c r="V22" i="21"/>
  <c r="H18" i="21"/>
  <c r="F136" i="21"/>
  <c r="F129" i="21"/>
  <c r="F126" i="21"/>
  <c r="F134" i="21"/>
  <c r="G95" i="21"/>
  <c r="K96" i="21"/>
  <c r="F95" i="21"/>
  <c r="K97" i="21"/>
  <c r="H135" i="21" l="1"/>
  <c r="F80" i="21"/>
  <c r="H80" i="21" s="1"/>
  <c r="N14" i="21"/>
  <c r="W14" i="21" s="1"/>
  <c r="F79" i="21"/>
  <c r="H79" i="21" s="1"/>
  <c r="K97" i="23"/>
  <c r="H98" i="23"/>
  <c r="F141" i="21"/>
  <c r="F142" i="21"/>
  <c r="AC100" i="23"/>
  <c r="Y100" i="23"/>
  <c r="U100" i="23"/>
  <c r="Q100" i="23"/>
  <c r="M100" i="23"/>
  <c r="AB100" i="23"/>
  <c r="X100" i="23"/>
  <c r="T100" i="23"/>
  <c r="P100" i="23"/>
  <c r="L100" i="23"/>
  <c r="AA100" i="23"/>
  <c r="S100" i="23"/>
  <c r="Z100" i="23"/>
  <c r="R100" i="23"/>
  <c r="J100" i="23"/>
  <c r="D101" i="23"/>
  <c r="O100" i="23"/>
  <c r="N100" i="23"/>
  <c r="W100" i="23"/>
  <c r="V100" i="23"/>
  <c r="M15" i="21"/>
  <c r="R23" i="21"/>
  <c r="H134" i="21"/>
  <c r="R20" i="21"/>
  <c r="F81" i="21"/>
  <c r="H81" i="21" s="1"/>
  <c r="O81" i="21" s="1"/>
  <c r="N45" i="21"/>
  <c r="R45" i="21" s="1"/>
  <c r="K196" i="21"/>
  <c r="J196" i="21"/>
  <c r="L196" i="21"/>
  <c r="I196" i="21"/>
  <c r="G196" i="21"/>
  <c r="I90" i="21"/>
  <c r="P90" i="21" s="1"/>
  <c r="P91" i="21" s="1"/>
  <c r="F196" i="21"/>
  <c r="H196" i="21"/>
  <c r="E196" i="21"/>
  <c r="W26" i="21"/>
  <c r="Z26" i="21" s="1"/>
  <c r="H25" i="21"/>
  <c r="F91" i="21" s="1"/>
  <c r="H91" i="21" s="1"/>
  <c r="O92" i="21" s="1"/>
  <c r="Y22" i="21"/>
  <c r="Y23" i="21" s="1"/>
  <c r="Y27" i="21" s="1"/>
  <c r="V23" i="21"/>
  <c r="F128" i="21"/>
  <c r="F125" i="21"/>
  <c r="H136" i="21"/>
  <c r="N13" i="21"/>
  <c r="F78" i="21"/>
  <c r="H78" i="21" s="1"/>
  <c r="F77" i="21"/>
  <c r="H77" i="21" s="1"/>
  <c r="H133" i="21"/>
  <c r="M33" i="21"/>
  <c r="M34" i="21" s="1"/>
  <c r="Q23" i="21"/>
  <c r="F97" i="21"/>
  <c r="H97" i="21" s="1"/>
  <c r="G96" i="21"/>
  <c r="I96" i="21" s="1"/>
  <c r="F96" i="21"/>
  <c r="H96" i="21" s="1"/>
  <c r="H95" i="21"/>
  <c r="I95" i="21"/>
  <c r="F132" i="21" l="1"/>
  <c r="H132" i="21" s="1"/>
  <c r="N30" i="21"/>
  <c r="R30" i="21" s="1"/>
  <c r="Q15" i="21"/>
  <c r="G265" i="21"/>
  <c r="G255" i="21"/>
  <c r="AC101" i="23"/>
  <c r="Y101" i="23"/>
  <c r="U101" i="23"/>
  <c r="Q101" i="23"/>
  <c r="AB101" i="23"/>
  <c r="W101" i="23"/>
  <c r="R101" i="23"/>
  <c r="M101" i="23"/>
  <c r="AA101" i="23"/>
  <c r="V101" i="23"/>
  <c r="P101" i="23"/>
  <c r="L101" i="23"/>
  <c r="D102" i="23"/>
  <c r="T101" i="23"/>
  <c r="S101" i="23"/>
  <c r="J101" i="23"/>
  <c r="Z101" i="23"/>
  <c r="X101" i="23"/>
  <c r="O101" i="23"/>
  <c r="N101" i="23"/>
  <c r="F146" i="21"/>
  <c r="H146" i="21" s="1"/>
  <c r="F145" i="21"/>
  <c r="AE97" i="23"/>
  <c r="G4" i="21"/>
  <c r="K117" i="23"/>
  <c r="E64" i="21" s="1"/>
  <c r="M161" i="21"/>
  <c r="F131" i="21"/>
  <c r="K98" i="23"/>
  <c r="AE98" i="23" s="1"/>
  <c r="H99" i="23"/>
  <c r="O96" i="21"/>
  <c r="F98" i="21"/>
  <c r="H98" i="21" s="1"/>
  <c r="O98" i="21" s="1"/>
  <c r="AC102" i="23" l="1"/>
  <c r="Y102" i="23"/>
  <c r="U102" i="23"/>
  <c r="Q102" i="23"/>
  <c r="M102" i="23"/>
  <c r="D103" i="23"/>
  <c r="Z102" i="23"/>
  <c r="T102" i="23"/>
  <c r="O102" i="23"/>
  <c r="J102" i="23"/>
  <c r="X102" i="23"/>
  <c r="S102" i="23"/>
  <c r="N102" i="23"/>
  <c r="AB102" i="23"/>
  <c r="R102" i="23"/>
  <c r="AA102" i="23"/>
  <c r="P102" i="23"/>
  <c r="W102" i="23"/>
  <c r="V102" i="23"/>
  <c r="L102" i="23"/>
  <c r="H100" i="23"/>
  <c r="K99" i="23"/>
  <c r="AE99" i="23" s="1"/>
  <c r="H145" i="21"/>
  <c r="F147" i="21"/>
  <c r="H147" i="21" s="1"/>
  <c r="O147" i="21" s="1"/>
  <c r="M12" i="21"/>
  <c r="H4" i="21"/>
  <c r="H131" i="21"/>
  <c r="O136" i="21" s="1"/>
  <c r="O137" i="21" s="1"/>
  <c r="F137" i="21"/>
  <c r="H137" i="21" s="1"/>
  <c r="O138" i="21" s="1"/>
  <c r="E257" i="21" s="1"/>
  <c r="M164" i="21"/>
  <c r="O145" i="21"/>
  <c r="O146" i="21" s="1"/>
  <c r="O97" i="21"/>
  <c r="M167" i="21"/>
  <c r="J267" i="21" l="1"/>
  <c r="E267" i="21"/>
  <c r="E256" i="21"/>
  <c r="J256" i="21"/>
  <c r="AC103" i="23"/>
  <c r="Y103" i="23"/>
  <c r="U103" i="23"/>
  <c r="Q103" i="23"/>
  <c r="M103" i="23"/>
  <c r="AB103" i="23"/>
  <c r="W103" i="23"/>
  <c r="R103" i="23"/>
  <c r="L103" i="23"/>
  <c r="AA103" i="23"/>
  <c r="V103" i="23"/>
  <c r="P103" i="23"/>
  <c r="Z103" i="23"/>
  <c r="O103" i="23"/>
  <c r="X103" i="23"/>
  <c r="N103" i="23"/>
  <c r="T103" i="23"/>
  <c r="S103" i="23"/>
  <c r="D104" i="23"/>
  <c r="J103" i="23"/>
  <c r="W12" i="21"/>
  <c r="W11" i="21" s="1"/>
  <c r="M11" i="21"/>
  <c r="H101" i="23"/>
  <c r="K100" i="23"/>
  <c r="J257" i="21"/>
  <c r="M162" i="21"/>
  <c r="F76" i="21"/>
  <c r="H76" i="21" s="1"/>
  <c r="N12" i="21"/>
  <c r="N11" i="21" s="1"/>
  <c r="J255" i="21"/>
  <c r="M168" i="21"/>
  <c r="M170" i="21"/>
  <c r="M24" i="21" l="1"/>
  <c r="Q11" i="21"/>
  <c r="M18" i="21"/>
  <c r="W20" i="21"/>
  <c r="Z11" i="21"/>
  <c r="Z20" i="21" s="1"/>
  <c r="O79" i="21"/>
  <c r="O77" i="21"/>
  <c r="R11" i="21"/>
  <c r="N18" i="21"/>
  <c r="AC104" i="23"/>
  <c r="Y104" i="23"/>
  <c r="U104" i="23"/>
  <c r="Q104" i="23"/>
  <c r="M104" i="23"/>
  <c r="D105" i="23"/>
  <c r="Z104" i="23"/>
  <c r="T104" i="23"/>
  <c r="O104" i="23"/>
  <c r="J104" i="23"/>
  <c r="X104" i="23"/>
  <c r="S104" i="23"/>
  <c r="N104" i="23"/>
  <c r="W104" i="23"/>
  <c r="L104" i="23"/>
  <c r="V104" i="23"/>
  <c r="R104" i="23"/>
  <c r="AA104" i="23"/>
  <c r="P104" i="23"/>
  <c r="AB104" i="23"/>
  <c r="H102" i="23"/>
  <c r="K101" i="23"/>
  <c r="J265" i="21"/>
  <c r="M169" i="21"/>
  <c r="Z105" i="23" l="1"/>
  <c r="V105" i="23"/>
  <c r="AA105" i="23"/>
  <c r="U105" i="23"/>
  <c r="Q105" i="23"/>
  <c r="M105" i="23"/>
  <c r="D106" i="23"/>
  <c r="X105" i="23"/>
  <c r="R105" i="23"/>
  <c r="L105" i="23"/>
  <c r="AC105" i="23"/>
  <c r="W105" i="23"/>
  <c r="P105" i="23"/>
  <c r="T105" i="23"/>
  <c r="J105" i="23"/>
  <c r="S105" i="23"/>
  <c r="O105" i="23"/>
  <c r="Y105" i="23"/>
  <c r="N105" i="23"/>
  <c r="AB105" i="23"/>
  <c r="W22" i="21"/>
  <c r="Z22" i="21" s="1"/>
  <c r="O78" i="21"/>
  <c r="E161" i="21"/>
  <c r="M42" i="21"/>
  <c r="Q42" i="21" s="1"/>
  <c r="M21" i="21"/>
  <c r="Q21" i="21" s="1"/>
  <c r="M43" i="21"/>
  <c r="Q43" i="21" s="1"/>
  <c r="Q18" i="21"/>
  <c r="N42" i="21"/>
  <c r="R42" i="21" s="1"/>
  <c r="R18" i="21"/>
  <c r="N21" i="21"/>
  <c r="O80" i="21"/>
  <c r="I167" i="21" s="1"/>
  <c r="E167" i="21"/>
  <c r="H103" i="23"/>
  <c r="K102" i="23"/>
  <c r="Z23" i="21"/>
  <c r="Z27" i="21" s="1"/>
  <c r="F50" i="21"/>
  <c r="G19" i="21" s="1"/>
  <c r="M26" i="21" s="1"/>
  <c r="Q26" i="21" s="1"/>
  <c r="M27" i="21"/>
  <c r="Q27" i="21" s="1"/>
  <c r="Q31" i="21" s="1"/>
  <c r="Q24" i="21"/>
  <c r="I168" i="21" l="1"/>
  <c r="I169" i="21" s="1"/>
  <c r="I170" i="21"/>
  <c r="I171" i="21" s="1"/>
  <c r="Z106" i="23"/>
  <c r="V106" i="23"/>
  <c r="R106" i="23"/>
  <c r="N106" i="23"/>
  <c r="J106" i="23"/>
  <c r="AC106" i="23"/>
  <c r="X106" i="23"/>
  <c r="S106" i="23"/>
  <c r="M106" i="23"/>
  <c r="AB106" i="23"/>
  <c r="W106" i="23"/>
  <c r="Q106" i="23"/>
  <c r="L106" i="23"/>
  <c r="D107" i="23"/>
  <c r="T106" i="23"/>
  <c r="AA106" i="23"/>
  <c r="P106" i="23"/>
  <c r="O106" i="23"/>
  <c r="Y106" i="23"/>
  <c r="U106" i="23"/>
  <c r="E162" i="21"/>
  <c r="G161" i="21"/>
  <c r="K161" i="21" s="1"/>
  <c r="Q161" i="21" s="1"/>
  <c r="S161" i="21" s="1"/>
  <c r="E164" i="21"/>
  <c r="R21" i="21"/>
  <c r="N24" i="21"/>
  <c r="J254" i="21"/>
  <c r="E264" i="21"/>
  <c r="E254" i="21"/>
  <c r="I161" i="21"/>
  <c r="H104" i="23"/>
  <c r="K103" i="23"/>
  <c r="E168" i="21"/>
  <c r="E170" i="21"/>
  <c r="G167" i="21"/>
  <c r="K167" i="21" s="1"/>
  <c r="Q167" i="21" s="1"/>
  <c r="S167" i="21" s="1"/>
  <c r="Q46" i="21"/>
  <c r="W23" i="21"/>
  <c r="G170" i="21" l="1"/>
  <c r="K170" i="21" s="1"/>
  <c r="Q170" i="21" s="1"/>
  <c r="U170" i="21" s="1"/>
  <c r="E171" i="21"/>
  <c r="G171" i="21" s="1"/>
  <c r="K171" i="21" s="1"/>
  <c r="J269" i="21" s="1"/>
  <c r="I162" i="21"/>
  <c r="I163" i="21" s="1"/>
  <c r="I164" i="21"/>
  <c r="I165" i="21" s="1"/>
  <c r="R24" i="21"/>
  <c r="F51" i="21"/>
  <c r="H19" i="21" s="1"/>
  <c r="N26" i="21" s="1"/>
  <c r="Z107" i="23"/>
  <c r="V107" i="23"/>
  <c r="R107" i="23"/>
  <c r="N107" i="23"/>
  <c r="J107" i="23"/>
  <c r="AA107" i="23"/>
  <c r="U107" i="23"/>
  <c r="P107" i="23"/>
  <c r="D108" i="23"/>
  <c r="Y107" i="23"/>
  <c r="T107" i="23"/>
  <c r="O107" i="23"/>
  <c r="AB107" i="23"/>
  <c r="Q107" i="23"/>
  <c r="X107" i="23"/>
  <c r="M107" i="23"/>
  <c r="L107" i="23"/>
  <c r="AC107" i="23"/>
  <c r="W107" i="23"/>
  <c r="S107" i="23"/>
  <c r="E169" i="21"/>
  <c r="G169" i="21" s="1"/>
  <c r="K169" i="21" s="1"/>
  <c r="Q169" i="21" s="1"/>
  <c r="U169" i="21" s="1"/>
  <c r="G168" i="21"/>
  <c r="K168" i="21" s="1"/>
  <c r="Q168" i="21" s="1"/>
  <c r="S168" i="21" s="1"/>
  <c r="E258" i="21"/>
  <c r="E259" i="21"/>
  <c r="F254" i="21"/>
  <c r="G162" i="21"/>
  <c r="K162" i="21" s="1"/>
  <c r="Q162" i="21" s="1"/>
  <c r="S162" i="21" s="1"/>
  <c r="E163" i="21"/>
  <c r="G163" i="21" s="1"/>
  <c r="K163" i="21" s="1"/>
  <c r="D14" i="25"/>
  <c r="F115" i="21"/>
  <c r="H117" i="21" s="1"/>
  <c r="O120" i="21" s="1"/>
  <c r="D20" i="25"/>
  <c r="F116" i="21"/>
  <c r="H118" i="21" s="1"/>
  <c r="O121" i="21" s="1"/>
  <c r="M171" i="21" s="1"/>
  <c r="Q171" i="21" s="1"/>
  <c r="U171" i="21" s="1"/>
  <c r="H105" i="23"/>
  <c r="K104" i="23"/>
  <c r="J264" i="21"/>
  <c r="J258" i="21"/>
  <c r="G164" i="21"/>
  <c r="K164" i="21" s="1"/>
  <c r="E165" i="21"/>
  <c r="G165" i="21" s="1"/>
  <c r="K165" i="21" s="1"/>
  <c r="E269" i="21" s="1"/>
  <c r="H106" i="23" l="1"/>
  <c r="K105" i="23"/>
  <c r="O190" i="21"/>
  <c r="C141" i="25"/>
  <c r="L218" i="21"/>
  <c r="D15" i="25"/>
  <c r="J259" i="21"/>
  <c r="K258" i="21"/>
  <c r="O202" i="21"/>
  <c r="F22" i="25"/>
  <c r="W169" i="21"/>
  <c r="H22" i="25" s="1"/>
  <c r="L227" i="21"/>
  <c r="F255" i="21"/>
  <c r="F257" i="21"/>
  <c r="F259" i="21" s="1"/>
  <c r="F256" i="21"/>
  <c r="N43" i="21"/>
  <c r="R43" i="21" s="1"/>
  <c r="R46" i="21" s="1"/>
  <c r="R26" i="21"/>
  <c r="N27" i="21"/>
  <c r="R27" i="21" s="1"/>
  <c r="R31" i="21" s="1"/>
  <c r="L226" i="21"/>
  <c r="F141" i="25"/>
  <c r="D21" i="25"/>
  <c r="O201" i="21"/>
  <c r="N141" i="25"/>
  <c r="L228" i="21"/>
  <c r="O203" i="21"/>
  <c r="F24" i="25"/>
  <c r="W171" i="21"/>
  <c r="H24" i="25" s="1"/>
  <c r="Z108" i="23"/>
  <c r="V108" i="23"/>
  <c r="R108" i="23"/>
  <c r="N108" i="23"/>
  <c r="J108" i="23"/>
  <c r="AC108" i="23"/>
  <c r="X108" i="23"/>
  <c r="S108" i="23"/>
  <c r="M108" i="23"/>
  <c r="AB108" i="23"/>
  <c r="W108" i="23"/>
  <c r="Q108" i="23"/>
  <c r="L108" i="23"/>
  <c r="Y108" i="23"/>
  <c r="O108" i="23"/>
  <c r="U108" i="23"/>
  <c r="D109" i="23"/>
  <c r="AA108" i="23"/>
  <c r="T108" i="23"/>
  <c r="P108" i="23"/>
  <c r="Q164" i="21"/>
  <c r="U164" i="21" s="1"/>
  <c r="M163" i="21"/>
  <c r="Q163" i="21" s="1"/>
  <c r="U163" i="21" s="1"/>
  <c r="E268" i="21"/>
  <c r="J268" i="21"/>
  <c r="M165" i="21"/>
  <c r="Q165" i="21" s="1"/>
  <c r="U165" i="21" s="1"/>
  <c r="F258" i="21"/>
  <c r="F23" i="25"/>
  <c r="W170" i="21"/>
  <c r="H23" i="25" s="1"/>
  <c r="Z109" i="23" l="1"/>
  <c r="V109" i="23"/>
  <c r="R109" i="23"/>
  <c r="N109" i="23"/>
  <c r="J109" i="23"/>
  <c r="AA109" i="23"/>
  <c r="U109" i="23"/>
  <c r="P109" i="23"/>
  <c r="D110" i="23"/>
  <c r="Y109" i="23"/>
  <c r="T109" i="23"/>
  <c r="O109" i="23"/>
  <c r="W109" i="23"/>
  <c r="L109" i="23"/>
  <c r="AC109" i="23"/>
  <c r="S109" i="23"/>
  <c r="AB109" i="23"/>
  <c r="X109" i="23"/>
  <c r="Q109" i="23"/>
  <c r="M109" i="23"/>
  <c r="W192" i="21"/>
  <c r="AC192" i="21"/>
  <c r="V192" i="21"/>
  <c r="AB192" i="21"/>
  <c r="Y192" i="21"/>
  <c r="Z192" i="21"/>
  <c r="AA192" i="21"/>
  <c r="X192" i="21"/>
  <c r="F16" i="25"/>
  <c r="W163" i="21"/>
  <c r="H16" i="25" s="1"/>
  <c r="L219" i="21"/>
  <c r="O191" i="21"/>
  <c r="E270" i="21"/>
  <c r="F268" i="21"/>
  <c r="K255" i="21"/>
  <c r="K257" i="21"/>
  <c r="K256" i="21"/>
  <c r="K254" i="21"/>
  <c r="O192" i="21"/>
  <c r="K141" i="25"/>
  <c r="L220" i="21"/>
  <c r="W165" i="21"/>
  <c r="H18" i="25" s="1"/>
  <c r="F18" i="25"/>
  <c r="W164" i="21"/>
  <c r="H17" i="25" s="1"/>
  <c r="F17" i="25"/>
  <c r="V190" i="21"/>
  <c r="AC190" i="21"/>
  <c r="AB190" i="21"/>
  <c r="AA190" i="21"/>
  <c r="Z190" i="21"/>
  <c r="Y190" i="21"/>
  <c r="X190" i="21"/>
  <c r="W190" i="21"/>
  <c r="J270" i="21"/>
  <c r="W191" i="21"/>
  <c r="AA191" i="21"/>
  <c r="V191" i="21"/>
  <c r="X191" i="21"/>
  <c r="Z191" i="21"/>
  <c r="AC191" i="21"/>
  <c r="AB191" i="21"/>
  <c r="Y191" i="21"/>
  <c r="H107" i="23"/>
  <c r="K106" i="23"/>
  <c r="K259" i="21" l="1"/>
  <c r="F266" i="21"/>
  <c r="F265" i="21"/>
  <c r="F267" i="21"/>
  <c r="F264" i="21"/>
  <c r="F269" i="21"/>
  <c r="Z110" i="23"/>
  <c r="V110" i="23"/>
  <c r="R110" i="23"/>
  <c r="N110" i="23"/>
  <c r="J110" i="23"/>
  <c r="AC110" i="23"/>
  <c r="X110" i="23"/>
  <c r="S110" i="23"/>
  <c r="M110" i="23"/>
  <c r="AB110" i="23"/>
  <c r="W110" i="23"/>
  <c r="Q110" i="23"/>
  <c r="L110" i="23"/>
  <c r="D111" i="23"/>
  <c r="T110" i="23"/>
  <c r="AA110" i="23"/>
  <c r="P110" i="23"/>
  <c r="Y110" i="23"/>
  <c r="U110" i="23"/>
  <c r="O110" i="23"/>
  <c r="K107" i="23"/>
  <c r="H108" i="23"/>
  <c r="K265" i="21"/>
  <c r="K267" i="21"/>
  <c r="K266" i="21"/>
  <c r="K269" i="21"/>
  <c r="K264" i="21"/>
  <c r="K268" i="21"/>
  <c r="H109" i="23" l="1"/>
  <c r="K108" i="23"/>
  <c r="Z111" i="23"/>
  <c r="V111" i="23"/>
  <c r="R111" i="23"/>
  <c r="N111" i="23"/>
  <c r="J111" i="23"/>
  <c r="AA111" i="23"/>
  <c r="U111" i="23"/>
  <c r="P111" i="23"/>
  <c r="D112" i="23"/>
  <c r="Y111" i="23"/>
  <c r="T111" i="23"/>
  <c r="O111" i="23"/>
  <c r="AB111" i="23"/>
  <c r="Q111" i="23"/>
  <c r="X111" i="23"/>
  <c r="M111" i="23"/>
  <c r="W111" i="23"/>
  <c r="S111" i="23"/>
  <c r="AC111" i="23"/>
  <c r="L111" i="23"/>
  <c r="K270" i="21"/>
  <c r="F270" i="21"/>
  <c r="Z112" i="23" l="1"/>
  <c r="V112" i="23"/>
  <c r="R112" i="23"/>
  <c r="N112" i="23"/>
  <c r="J112" i="23"/>
  <c r="AC112" i="23"/>
  <c r="X112" i="23"/>
  <c r="S112" i="23"/>
  <c r="M112" i="23"/>
  <c r="AB112" i="23"/>
  <c r="W112" i="23"/>
  <c r="Q112" i="23"/>
  <c r="L112" i="23"/>
  <c r="Y112" i="23"/>
  <c r="O112" i="23"/>
  <c r="U112" i="23"/>
  <c r="T112" i="23"/>
  <c r="P112" i="23"/>
  <c r="AA112" i="23"/>
  <c r="K109" i="23"/>
  <c r="H110" i="23"/>
  <c r="I5" i="21" l="1"/>
  <c r="Q118" i="23"/>
  <c r="Q119" i="23"/>
  <c r="S118" i="23"/>
  <c r="S119" i="23"/>
  <c r="I27" i="21"/>
  <c r="G138" i="21" s="1"/>
  <c r="I138" i="21" s="1"/>
  <c r="AA118" i="23"/>
  <c r="AA119" i="23"/>
  <c r="F61" i="21" s="1"/>
  <c r="I22" i="21"/>
  <c r="G81" i="21" s="1"/>
  <c r="I81" i="21" s="1"/>
  <c r="W118" i="23"/>
  <c r="W119" i="23"/>
  <c r="F62" i="21" s="1"/>
  <c r="I15" i="21"/>
  <c r="P118" i="23"/>
  <c r="P119" i="23"/>
  <c r="I18" i="21"/>
  <c r="AB118" i="23"/>
  <c r="AB119" i="23"/>
  <c r="AC118" i="23"/>
  <c r="AC119" i="23"/>
  <c r="I16" i="21"/>
  <c r="V118" i="23"/>
  <c r="V119" i="23"/>
  <c r="I14" i="21"/>
  <c r="U118" i="23"/>
  <c r="U119" i="23"/>
  <c r="I12" i="21"/>
  <c r="N118" i="23"/>
  <c r="N119" i="23"/>
  <c r="I13" i="21"/>
  <c r="O118" i="23"/>
  <c r="O119" i="23"/>
  <c r="F59" i="21" s="1"/>
  <c r="X118" i="23"/>
  <c r="I26" i="21"/>
  <c r="X119" i="23"/>
  <c r="I6" i="21"/>
  <c r="R118" i="23"/>
  <c r="R119" i="23"/>
  <c r="F56" i="21" s="1"/>
  <c r="I24" i="21"/>
  <c r="Y118" i="23"/>
  <c r="Y119" i="23"/>
  <c r="H111" i="23"/>
  <c r="K110" i="23"/>
  <c r="T118" i="23"/>
  <c r="I11" i="21"/>
  <c r="T119" i="23"/>
  <c r="L118" i="23"/>
  <c r="L119" i="23"/>
  <c r="I7" i="21" s="1"/>
  <c r="O16" i="21" s="1"/>
  <c r="M118" i="23"/>
  <c r="I10" i="21"/>
  <c r="O20" i="21" s="1"/>
  <c r="M119" i="23"/>
  <c r="I23" i="21"/>
  <c r="G82" i="21" s="1"/>
  <c r="I82" i="21" s="1"/>
  <c r="Z118" i="23"/>
  <c r="Z119" i="23"/>
  <c r="F60" i="21" s="1"/>
  <c r="F57" i="21" l="1"/>
  <c r="F58" i="21"/>
  <c r="G141" i="21" s="1"/>
  <c r="G145" i="21" s="1"/>
  <c r="G135" i="21"/>
  <c r="I135" i="21" s="1"/>
  <c r="G133" i="21"/>
  <c r="I133" i="21" s="1"/>
  <c r="G142" i="21"/>
  <c r="G146" i="21" s="1"/>
  <c r="I146" i="21" s="1"/>
  <c r="K111" i="23"/>
  <c r="H112" i="23"/>
  <c r="K112" i="23" s="1"/>
  <c r="O23" i="21"/>
  <c r="G80" i="21"/>
  <c r="I80" i="21" s="1"/>
  <c r="O14" i="21"/>
  <c r="X14" i="21" s="1"/>
  <c r="G79" i="21"/>
  <c r="I79" i="21" s="1"/>
  <c r="S20" i="21"/>
  <c r="G129" i="21"/>
  <c r="G126" i="21"/>
  <c r="G134" i="21"/>
  <c r="I134" i="21" s="1"/>
  <c r="G136" i="21"/>
  <c r="I136" i="21" s="1"/>
  <c r="P81" i="21"/>
  <c r="I36" i="21"/>
  <c r="I8" i="21"/>
  <c r="G78" i="21"/>
  <c r="I78" i="21" s="1"/>
  <c r="O13" i="21"/>
  <c r="X13" i="21" s="1"/>
  <c r="G77" i="21"/>
  <c r="I77" i="21" s="1"/>
  <c r="S23" i="21" l="1"/>
  <c r="I145" i="21"/>
  <c r="P145" i="21" s="1"/>
  <c r="P146" i="21" s="1"/>
  <c r="G147" i="21"/>
  <c r="I147" i="21" s="1"/>
  <c r="P147" i="21" s="1"/>
  <c r="G128" i="21"/>
  <c r="G132" i="21" s="1"/>
  <c r="I132" i="21" s="1"/>
  <c r="G125" i="21"/>
  <c r="G131" i="21" s="1"/>
  <c r="I4" i="21"/>
  <c r="K118" i="23"/>
  <c r="K119" i="23"/>
  <c r="F64" i="21" s="1"/>
  <c r="I25" i="21"/>
  <c r="O17" i="21"/>
  <c r="X19" i="21"/>
  <c r="G97" i="21"/>
  <c r="O33" i="21"/>
  <c r="O45" i="21" l="1"/>
  <c r="S45" i="21" s="1"/>
  <c r="O15" i="21"/>
  <c r="I97" i="21"/>
  <c r="P96" i="21" s="1"/>
  <c r="P97" i="21" s="1"/>
  <c r="L255" i="21" s="1"/>
  <c r="G98" i="21"/>
  <c r="I98" i="21" s="1"/>
  <c r="P98" i="21" s="1"/>
  <c r="X16" i="21"/>
  <c r="G76" i="21"/>
  <c r="I76" i="21" s="1"/>
  <c r="O12" i="21"/>
  <c r="O30" i="21"/>
  <c r="S30" i="21" s="1"/>
  <c r="G91" i="21"/>
  <c r="I91" i="21" s="1"/>
  <c r="P92" i="21" s="1"/>
  <c r="I131" i="21"/>
  <c r="P136" i="21" s="1"/>
  <c r="P137" i="21" s="1"/>
  <c r="G137" i="21"/>
  <c r="I137" i="21" s="1"/>
  <c r="P138" i="21" s="1"/>
  <c r="G267" i="21"/>
  <c r="L267" i="21"/>
  <c r="G256" i="21" l="1"/>
  <c r="L256" i="21"/>
  <c r="P79" i="21"/>
  <c r="P80" i="21" s="1"/>
  <c r="P77" i="21"/>
  <c r="AA16" i="21"/>
  <c r="X26" i="21"/>
  <c r="AA26" i="21" s="1"/>
  <c r="L265" i="21"/>
  <c r="N161" i="21"/>
  <c r="G257" i="21"/>
  <c r="S15" i="21"/>
  <c r="O18" i="21"/>
  <c r="X12" i="21"/>
  <c r="X11" i="21" s="1"/>
  <c r="O11" i="21"/>
  <c r="L257" i="21"/>
  <c r="N167" i="21"/>
  <c r="P78" i="21" l="1"/>
  <c r="F161" i="21"/>
  <c r="F167" i="21"/>
  <c r="O42" i="21"/>
  <c r="S42" i="21" s="1"/>
  <c r="O21" i="21"/>
  <c r="S21" i="21" s="1"/>
  <c r="S18" i="21"/>
  <c r="N162" i="21"/>
  <c r="N164" i="21"/>
  <c r="S11" i="21"/>
  <c r="O24" i="21"/>
  <c r="N168" i="21"/>
  <c r="N169" i="21" s="1"/>
  <c r="N170" i="21"/>
  <c r="AA11" i="21"/>
  <c r="AA20" i="21" s="1"/>
  <c r="X20" i="21"/>
  <c r="S24" i="21" l="1"/>
  <c r="F52" i="21"/>
  <c r="I19" i="21" s="1"/>
  <c r="O26" i="21" s="1"/>
  <c r="S26" i="21" s="1"/>
  <c r="O27" i="21"/>
  <c r="F164" i="21"/>
  <c r="H161" i="21"/>
  <c r="L161" i="21" s="1"/>
  <c r="R161" i="21" s="1"/>
  <c r="T161" i="21" s="1"/>
  <c r="H167" i="21"/>
  <c r="L167" i="21" s="1"/>
  <c r="R167" i="21" s="1"/>
  <c r="T167" i="21" s="1"/>
  <c r="F168" i="21"/>
  <c r="F170" i="21"/>
  <c r="X23" i="21"/>
  <c r="X22" i="21"/>
  <c r="AA22" i="21" s="1"/>
  <c r="AA23" i="21" s="1"/>
  <c r="AA27" i="21" s="1"/>
  <c r="G264" i="21"/>
  <c r="L254" i="21"/>
  <c r="G254" i="21"/>
  <c r="J161" i="21"/>
  <c r="J167" i="21"/>
  <c r="J162" i="21" l="1"/>
  <c r="J164" i="21"/>
  <c r="J165" i="21" s="1"/>
  <c r="H170" i="21"/>
  <c r="L170" i="21" s="1"/>
  <c r="R170" i="21" s="1"/>
  <c r="V170" i="21" s="1"/>
  <c r="F171" i="21"/>
  <c r="H171" i="21" s="1"/>
  <c r="L171" i="21" s="1"/>
  <c r="L269" i="21" s="1"/>
  <c r="L264" i="21"/>
  <c r="L258" i="21"/>
  <c r="L259" i="21"/>
  <c r="G115" i="21"/>
  <c r="I117" i="21" s="1"/>
  <c r="P120" i="21" s="1"/>
  <c r="E14" i="25"/>
  <c r="L52" i="21"/>
  <c r="S27" i="21"/>
  <c r="S31" i="21" s="1"/>
  <c r="L50" i="21"/>
  <c r="L51" i="21"/>
  <c r="L49" i="21"/>
  <c r="L54" i="21" s="1"/>
  <c r="G258" i="21"/>
  <c r="G259" i="21"/>
  <c r="F169" i="21"/>
  <c r="H169" i="21" s="1"/>
  <c r="L169" i="21" s="1"/>
  <c r="R169" i="21" s="1"/>
  <c r="V169" i="21" s="1"/>
  <c r="H168" i="21"/>
  <c r="L168" i="21" s="1"/>
  <c r="F165" i="21"/>
  <c r="H165" i="21" s="1"/>
  <c r="L165" i="21" s="1"/>
  <c r="G269" i="21" s="1"/>
  <c r="H164" i="21"/>
  <c r="L164" i="21" s="1"/>
  <c r="E20" i="25"/>
  <c r="G116" i="21"/>
  <c r="I118" i="21" s="1"/>
  <c r="P121" i="21" s="1"/>
  <c r="N171" i="21" s="1"/>
  <c r="J170" i="21"/>
  <c r="J171" i="21" s="1"/>
  <c r="J168" i="21"/>
  <c r="J169" i="21" s="1"/>
  <c r="O43" i="21"/>
  <c r="S43" i="21" s="1"/>
  <c r="S46" i="21" s="1"/>
  <c r="M255" i="21" l="1"/>
  <c r="M256" i="21"/>
  <c r="M257" i="21"/>
  <c r="H257" i="21"/>
  <c r="H255" i="21"/>
  <c r="H256" i="21"/>
  <c r="X170" i="21"/>
  <c r="I23" i="25" s="1"/>
  <c r="G23" i="25"/>
  <c r="G268" i="21"/>
  <c r="L268" i="21"/>
  <c r="N165" i="21"/>
  <c r="N163" i="21"/>
  <c r="R163" i="21" s="1"/>
  <c r="V163" i="21" s="1"/>
  <c r="L231" i="21"/>
  <c r="G22" i="25"/>
  <c r="O206" i="21"/>
  <c r="X169" i="21"/>
  <c r="I22" i="25" s="1"/>
  <c r="V164" i="21"/>
  <c r="R164" i="21"/>
  <c r="M258" i="21"/>
  <c r="H258" i="21"/>
  <c r="R171" i="21"/>
  <c r="V171" i="21" s="1"/>
  <c r="R168" i="21"/>
  <c r="T168" i="21" s="1"/>
  <c r="H254" i="21"/>
  <c r="M50" i="21"/>
  <c r="M51" i="21"/>
  <c r="M53" i="21"/>
  <c r="M49" i="21"/>
  <c r="M254" i="21"/>
  <c r="M52" i="21"/>
  <c r="J163" i="21"/>
  <c r="R162" i="21"/>
  <c r="T162" i="21" s="1"/>
  <c r="O207" i="21" l="1"/>
  <c r="X171" i="21"/>
  <c r="I24" i="25" s="1"/>
  <c r="L232" i="21"/>
  <c r="G24" i="25"/>
  <c r="O141" i="25"/>
  <c r="X198" i="21"/>
  <c r="Y198" i="21"/>
  <c r="AA198" i="21"/>
  <c r="AC198" i="21"/>
  <c r="AB198" i="21"/>
  <c r="V198" i="21"/>
  <c r="W198" i="21"/>
  <c r="Z198" i="21"/>
  <c r="H259" i="21"/>
  <c r="G16" i="25"/>
  <c r="L223" i="21"/>
  <c r="X163" i="21"/>
  <c r="I16" i="25" s="1"/>
  <c r="O198" i="21"/>
  <c r="M259" i="21"/>
  <c r="V165" i="21"/>
  <c r="R165" i="21"/>
  <c r="E15" i="25"/>
  <c r="O197" i="21"/>
  <c r="D141" i="25"/>
  <c r="L222" i="21"/>
  <c r="M54" i="21"/>
  <c r="G17" i="25"/>
  <c r="X164" i="21"/>
  <c r="I17" i="25" s="1"/>
  <c r="E21" i="25"/>
  <c r="L230" i="21"/>
  <c r="O205" i="21"/>
  <c r="G141" i="25"/>
  <c r="L270" i="21"/>
  <c r="G270" i="21"/>
  <c r="H268" i="21" s="1"/>
  <c r="AC197" i="21" l="1"/>
  <c r="AA197" i="21"/>
  <c r="AB197" i="21"/>
  <c r="Z197" i="21"/>
  <c r="X197" i="21"/>
  <c r="V197" i="21"/>
  <c r="Y197" i="21"/>
  <c r="W197" i="21"/>
  <c r="G18" i="25"/>
  <c r="L224" i="21"/>
  <c r="X165" i="21"/>
  <c r="I18" i="25" s="1"/>
  <c r="O199" i="21"/>
  <c r="L141" i="25"/>
  <c r="H266" i="21"/>
  <c r="H265" i="21"/>
  <c r="H267" i="21"/>
  <c r="H264" i="21"/>
  <c r="H269" i="21"/>
  <c r="M269" i="21"/>
  <c r="M266" i="21"/>
  <c r="M267" i="21"/>
  <c r="M265" i="21"/>
  <c r="M264" i="21"/>
  <c r="M268" i="21"/>
  <c r="AB199" i="21"/>
  <c r="Y199" i="21"/>
  <c r="V199" i="21"/>
  <c r="AC199" i="21"/>
  <c r="W199" i="21"/>
  <c r="Z199" i="21"/>
  <c r="X199" i="21"/>
  <c r="AA199" i="21"/>
  <c r="M270" i="21" l="1"/>
  <c r="H270" i="21"/>
</calcChain>
</file>

<file path=xl/comments1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C2" authorId="0" shapeId="0" xr:uid="{8F2C5D74-7291-4661-9198-4A20AEBDA8EB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add rows above this one, and don't change name</t>
        </r>
      </text>
    </comment>
  </commentList>
</comments>
</file>

<file path=xl/comments2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D2" authorId="0" shapeId="0" xr:uid="{DE87EC85-11E7-4247-B257-1EC4F832A51E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Dont add a row above this one and don't change name</t>
        </r>
      </text>
    </comment>
    <comment ref="D77" authorId="0" shapeId="0" xr:uid="{0357EFD7-D087-4421-9170-D2CCF01FEB75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The differentiation between bottom fixed and floating is made for the distance dependency, both for assembly and for installation.</t>
        </r>
      </text>
    </comment>
    <comment ref="D158" authorId="0" shapeId="0" xr:uid="{D9274852-9837-48F6-9D44-83AD83CC05ED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name</t>
        </r>
      </text>
    </comment>
    <comment ref="D174" authorId="0" shapeId="0" xr:uid="{772F1C9E-9B13-45E8-8BC1-7D5C7242D6B6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name</t>
        </r>
      </text>
    </comment>
    <comment ref="D209" authorId="0" shapeId="0" xr:uid="{D2AEE168-E39C-49BC-9680-F93211B4F52E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Don't change - VBA needs this</t>
        </r>
      </text>
    </comment>
  </commentList>
</comments>
</file>

<file path=xl/comments3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Z68" authorId="0" shapeId="0" xr:uid="{DA249CCF-C271-4C87-B75E-DE6FFF30E623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This gives the value for a 10 MW turbine. For 20 MW the absolute costs remain the same, so the coststs per MW are then 50% of theiis value.</t>
        </r>
      </text>
    </comment>
  </commentList>
</comments>
</file>

<file path=xl/comments4.xml><?xml version="1.0" encoding="utf-8"?>
<comments xmlns="http://schemas.openxmlformats.org/spreadsheetml/2006/main" xmlns:mc="http://schemas.openxmlformats.org/markup-compatibility/2006" xmlns:xr="http://schemas.microsoft.com/office/spreadsheetml/2014/revision" mc:Ignorable="xr">
  <authors>
    <author>Chris Hellinga</author>
  </authors>
  <commentList>
    <comment ref="D237" authorId="0" shapeId="0" xr:uid="{F4323FBC-EA37-44A8-BE67-B0B6BEF6500F}">
      <text>
        <r>
          <rPr>
            <b/>
            <sz val="9"/>
            <color indexed="81"/>
            <rFont val="Tahoma"/>
            <family val="2"/>
          </rPr>
          <t>Chris Hellinga:</t>
        </r>
        <r>
          <rPr>
            <sz val="9"/>
            <color indexed="81"/>
            <rFont val="Tahoma"/>
            <family val="2"/>
          </rPr>
          <t xml:space="preserve">
Dont change name, dont add row abvoe this one</t>
        </r>
      </text>
    </comment>
  </commentList>
</comments>
</file>

<file path=xl/sharedStrings.xml><?xml version="1.0" encoding="utf-8"?>
<sst xmlns="http://schemas.openxmlformats.org/spreadsheetml/2006/main" count="1082" uniqueCount="417">
  <si>
    <t>Mooring</t>
  </si>
  <si>
    <t>ton</t>
  </si>
  <si>
    <t>MW</t>
  </si>
  <si>
    <t>MWe</t>
  </si>
  <si>
    <t>GW</t>
  </si>
  <si>
    <t>Electricity</t>
  </si>
  <si>
    <t>Totals</t>
  </si>
  <si>
    <t>Turbine</t>
  </si>
  <si>
    <t>10 MW</t>
  </si>
  <si>
    <t>M€</t>
  </si>
  <si>
    <t>Total</t>
  </si>
  <si>
    <t>Monopile</t>
  </si>
  <si>
    <t>Substructure</t>
  </si>
  <si>
    <t>Other</t>
  </si>
  <si>
    <t>Installation</t>
  </si>
  <si>
    <r>
      <t>M</t>
    </r>
    <r>
      <rPr>
        <sz val="11"/>
        <color theme="1"/>
        <rFont val="Calibri"/>
        <family val="2"/>
      </rPr>
      <t>€</t>
    </r>
  </si>
  <si>
    <t>Cables</t>
  </si>
  <si>
    <t>Offshore substation</t>
  </si>
  <si>
    <t>Onshore substation</t>
  </si>
  <si>
    <t>Offshore substation installation</t>
  </si>
  <si>
    <t>Turbine installation</t>
  </si>
  <si>
    <t>Lifetime</t>
  </si>
  <si>
    <t>year</t>
  </si>
  <si>
    <t>WACC</t>
  </si>
  <si>
    <t>€/MW</t>
  </si>
  <si>
    <t>LCOE</t>
  </si>
  <si>
    <t>Maintenance</t>
  </si>
  <si>
    <t>Catapult</t>
  </si>
  <si>
    <t>Hardware</t>
  </si>
  <si>
    <t>%</t>
  </si>
  <si>
    <t>m</t>
  </si>
  <si>
    <t>Water depth</t>
  </si>
  <si>
    <t>Development &amp; project management</t>
  </si>
  <si>
    <t>noemer</t>
  </si>
  <si>
    <t>teller</t>
  </si>
  <si>
    <t>annuiteit</t>
  </si>
  <si>
    <t>(1+WACC)^t</t>
  </si>
  <si>
    <t>Turbine power</t>
  </si>
  <si>
    <t>20 MW</t>
  </si>
  <si>
    <t>20 MW 2050</t>
  </si>
  <si>
    <t>€/MWh</t>
  </si>
  <si>
    <r>
      <t>M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/year</t>
    </r>
  </si>
  <si>
    <t>Operation</t>
  </si>
  <si>
    <t>km</t>
  </si>
  <si>
    <t>Learning rate</t>
  </si>
  <si>
    <t>Export cable</t>
  </si>
  <si>
    <t>Array cables</t>
  </si>
  <si>
    <t>CAPEX</t>
  </si>
  <si>
    <t>kWh/kg H2</t>
  </si>
  <si>
    <t>€/kg</t>
  </si>
  <si>
    <t>€/kWh</t>
  </si>
  <si>
    <t>Hydrogen</t>
  </si>
  <si>
    <t>Other costs</t>
  </si>
  <si>
    <t>MWh/year</t>
  </si>
  <si>
    <t>Maintenance (2% of CAPEX)</t>
  </si>
  <si>
    <t>Depth</t>
  </si>
  <si>
    <r>
      <t>LCOH (</t>
    </r>
    <r>
      <rPr>
        <b/>
        <sz val="11"/>
        <color theme="1"/>
        <rFont val="Calibri"/>
        <family val="2"/>
      </rPr>
      <t>€/kg)</t>
    </r>
  </si>
  <si>
    <t>Monopile length</t>
  </si>
  <si>
    <t>Electric infrastructure</t>
  </si>
  <si>
    <t>Array cable length</t>
  </si>
  <si>
    <t>LCOE - annuity factor</t>
  </si>
  <si>
    <t>discount factor year -1</t>
  </si>
  <si>
    <t>Array cable installation</t>
  </si>
  <si>
    <t>Electricity production</t>
  </si>
  <si>
    <t>Substations</t>
  </si>
  <si>
    <t>Capacity factor</t>
  </si>
  <si>
    <t>Slenderness ratio</t>
  </si>
  <si>
    <t xml:space="preserve">- </t>
  </si>
  <si>
    <t>€/ton</t>
  </si>
  <si>
    <t>Substructure costs</t>
  </si>
  <si>
    <t>eps</t>
  </si>
  <si>
    <t>O&amp;M</t>
  </si>
  <si>
    <t>WACC_real = (1+Wacc_nominal)/(1+Inflation rate)-1.</t>
  </si>
  <si>
    <t>Subtotal</t>
  </si>
  <si>
    <t>k€/MW</t>
  </si>
  <si>
    <t>k€/MW/year</t>
  </si>
  <si>
    <t>Turbine CAPEX</t>
  </si>
  <si>
    <t>Turbine assembly etc.</t>
  </si>
  <si>
    <t>Substructure installation</t>
  </si>
  <si>
    <t>Park -array- cables</t>
  </si>
  <si>
    <t>IRENA uses 7,5% for (historic) data. Recent Dutch wind park data: 7%. More mature business is lower WACC (less risk). With expected increasing inflation, the WACC will decrease. 6% seems reasonable.</t>
  </si>
  <si>
    <t>Installed power</t>
  </si>
  <si>
    <t>growth</t>
  </si>
  <si>
    <t>Assembly</t>
  </si>
  <si>
    <t>LR scenario</t>
  </si>
  <si>
    <t>Dev. &amp; proj. man.</t>
  </si>
  <si>
    <t>k€/km</t>
  </si>
  <si>
    <t>Cable installation</t>
  </si>
  <si>
    <t>Export cable (1 GW)</t>
  </si>
  <si>
    <t>No cost reduction (1)</t>
  </si>
  <si>
    <t>Reference (2)</t>
  </si>
  <si>
    <t>Onshore substation installation</t>
  </si>
  <si>
    <t>Development &amp; Project management</t>
  </si>
  <si>
    <t>Minimum price</t>
  </si>
  <si>
    <t>inflation</t>
  </si>
  <si>
    <t>Vestas - end 2019 (2-9-2019: 709 k€/MW)</t>
  </si>
  <si>
    <t>Base case 2023</t>
  </si>
  <si>
    <t>10 MW: 51% 20 MW: 65%</t>
  </si>
  <si>
    <t xml:space="preserve"> Same % decrease as turbine costs. </t>
  </si>
  <si>
    <t>Transition piece weight</t>
  </si>
  <si>
    <t>Installation activities</t>
  </si>
  <si>
    <t xml:space="preserve">Capacity factor </t>
  </si>
  <si>
    <t>€/ton monopile</t>
  </si>
  <si>
    <t>Hydrogen production</t>
  </si>
  <si>
    <t>Monopile substructure</t>
  </si>
  <si>
    <t>Electricity transport</t>
  </si>
  <si>
    <t>Hydrogen transport</t>
  </si>
  <si>
    <t>Platform costs</t>
  </si>
  <si>
    <t>Per unit</t>
  </si>
  <si>
    <r>
      <t>M</t>
    </r>
    <r>
      <rPr>
        <sz val="11"/>
        <color theme="1"/>
        <rFont val="Calibri"/>
        <family val="2"/>
      </rPr>
      <t>€/MW</t>
    </r>
  </si>
  <si>
    <t>Unit</t>
  </si>
  <si>
    <r>
      <t>M</t>
    </r>
    <r>
      <rPr>
        <sz val="11"/>
        <color theme="1"/>
        <rFont val="Calibri"/>
        <family val="2"/>
      </rPr>
      <t>€/km</t>
    </r>
  </si>
  <si>
    <t>Array cables (66 kV)</t>
  </si>
  <si>
    <t>Export cable (x kV)</t>
  </si>
  <si>
    <t>% of CAPEX</t>
  </si>
  <si>
    <t>Hydrogen compression</t>
  </si>
  <si>
    <t>Compressor CAPEX</t>
  </si>
  <si>
    <t>Electricity requirement</t>
  </si>
  <si>
    <t>Electrolyzer pressure</t>
  </si>
  <si>
    <t>bar</t>
  </si>
  <si>
    <t xml:space="preserve">Distance to shore </t>
  </si>
  <si>
    <t>Overall lifetime</t>
  </si>
  <si>
    <t>Efficiency (total)</t>
  </si>
  <si>
    <t>% (HHV)</t>
  </si>
  <si>
    <t>Monopile weight</t>
  </si>
  <si>
    <t>Monopile costs</t>
  </si>
  <si>
    <t>TP costs</t>
  </si>
  <si>
    <t>Export cable installation</t>
  </si>
  <si>
    <t>Floating substructure (2035/2050)</t>
  </si>
  <si>
    <t>Floating</t>
  </si>
  <si>
    <t>Years</t>
  </si>
  <si>
    <t>LCOH</t>
  </si>
  <si>
    <t>Electrolyser - system</t>
  </si>
  <si>
    <t>Per 20 MW turbine</t>
  </si>
  <si>
    <t>ton/year</t>
  </si>
  <si>
    <t>Power (e) per turbine</t>
  </si>
  <si>
    <t>Array cabling costs total</t>
  </si>
  <si>
    <t>Export cabling costs total</t>
  </si>
  <si>
    <t>Electricity at turbine bottom</t>
  </si>
  <si>
    <t>CAPEX/year</t>
  </si>
  <si>
    <t>Fixed bottom</t>
  </si>
  <si>
    <t>Electricity onshore reception</t>
  </si>
  <si>
    <t>Hydrogen onshore reception</t>
  </si>
  <si>
    <t>Hydrogen at turbine bottom</t>
  </si>
  <si>
    <t>Onshore hydrogen production</t>
  </si>
  <si>
    <t>M€/year</t>
  </si>
  <si>
    <t>Development/other</t>
  </si>
  <si>
    <t>Dev/other per year</t>
  </si>
  <si>
    <t>Energy losses</t>
  </si>
  <si>
    <t>Electricity (comp+losses)</t>
  </si>
  <si>
    <t>2035-2050</t>
  </si>
  <si>
    <t>OPEX/year</t>
  </si>
  <si>
    <t xml:space="preserve">CAPEX/year </t>
  </si>
  <si>
    <t>Per year</t>
  </si>
  <si>
    <r>
      <t>M</t>
    </r>
    <r>
      <rPr>
        <sz val="11"/>
        <color theme="1"/>
        <rFont val="Calibri"/>
        <family val="2"/>
      </rPr>
      <t>€/turbine</t>
    </r>
  </si>
  <si>
    <t>€/MWh H2 (HHV)</t>
  </si>
  <si>
    <t>Distance dependency</t>
  </si>
  <si>
    <t>ton/m3</t>
  </si>
  <si>
    <t>Electricity price - floating</t>
  </si>
  <si>
    <t>Electricity price - fixed bottom</t>
  </si>
  <si>
    <t>Costs per 20 MW turbine</t>
  </si>
  <si>
    <t>Points in the Northsea map</t>
  </si>
  <si>
    <t>distance</t>
  </si>
  <si>
    <t>depth</t>
  </si>
  <si>
    <t>Scenario values</t>
  </si>
  <si>
    <t>ProRES/High (3)</t>
  </si>
  <si>
    <t>Historic values</t>
  </si>
  <si>
    <t>Total wind cap</t>
  </si>
  <si>
    <t>Offshore</t>
  </si>
  <si>
    <t>IRENA : 6000 GW for 35% of the world electricity in 2050</t>
  </si>
  <si>
    <t>Offshore given</t>
  </si>
  <si>
    <t>Floating substructure</t>
  </si>
  <si>
    <t>GW %</t>
  </si>
  <si>
    <t>Offshore scenario total</t>
  </si>
  <si>
    <t>FS</t>
  </si>
  <si>
    <t>Floating substructure (FS)</t>
  </si>
  <si>
    <t>ProRES scenario (offshore wind growth)</t>
  </si>
  <si>
    <t>Sub-structure</t>
  </si>
  <si>
    <t>Orsted indication 2018</t>
  </si>
  <si>
    <t>Indications for 14/15 MW machines (2024) are currently 61-64%</t>
  </si>
  <si>
    <t>DNV assumes 28 year in 2050. We follow Catapult for 2023.</t>
  </si>
  <si>
    <t>Inflation correction (27 year)</t>
  </si>
  <si>
    <t>(not used)</t>
  </si>
  <si>
    <t>Hydrogen - onshore production</t>
  </si>
  <si>
    <t>Hydrogen - offshore production</t>
  </si>
  <si>
    <t>Electricity - onshore reception</t>
  </si>
  <si>
    <t>ProRES scenario floating substructure</t>
  </si>
  <si>
    <t>Point 1</t>
  </si>
  <si>
    <t>Point 2</t>
  </si>
  <si>
    <t>Point 3</t>
  </si>
  <si>
    <t>Point 4</t>
  </si>
  <si>
    <t>depth/distance dependency</t>
  </si>
  <si>
    <t>Examples</t>
  </si>
  <si>
    <t>Quest FEW</t>
  </si>
  <si>
    <t>Substructure CAPEX</t>
  </si>
  <si>
    <t>Electricity infra (total - to coast)</t>
  </si>
  <si>
    <t>Proj. dev. + other</t>
  </si>
  <si>
    <r>
      <t>M</t>
    </r>
    <r>
      <rPr>
        <sz val="11"/>
        <color theme="1"/>
        <rFont val="Calibri"/>
        <family val="2"/>
      </rPr>
      <t>€/year</t>
    </r>
  </si>
  <si>
    <t>Hydrogen compression + transport</t>
  </si>
  <si>
    <t>Distance</t>
  </si>
  <si>
    <t>Cost breakdown</t>
  </si>
  <si>
    <t>Maintenance + electricity use/loss</t>
  </si>
  <si>
    <r>
      <t>LCOE (</t>
    </r>
    <r>
      <rPr>
        <b/>
        <sz val="11"/>
        <color theme="1"/>
        <rFont val="Calibri"/>
        <family val="2"/>
      </rPr>
      <t>€/MWh)</t>
    </r>
  </si>
  <si>
    <t>Distance to coast</t>
  </si>
  <si>
    <t>Change dark color fields</t>
  </si>
  <si>
    <t>Copy-paste values from here</t>
  </si>
  <si>
    <t>Hydrogen pipelines</t>
  </si>
  <si>
    <t>Park cabling</t>
  </si>
  <si>
    <t>Efficiency</t>
  </si>
  <si>
    <t>€/m3</t>
  </si>
  <si>
    <t>20 MW "actual"</t>
  </si>
  <si>
    <t xml:space="preserve">M€/year </t>
  </si>
  <si>
    <t>Turbine costs</t>
  </si>
  <si>
    <t>Costs for 1 GW park</t>
  </si>
  <si>
    <t>Investments</t>
  </si>
  <si>
    <t>Lifetime [year]</t>
  </si>
  <si>
    <t>Monopile length [m]</t>
  </si>
  <si>
    <t>Slendernesss ratio [-]</t>
  </si>
  <si>
    <t>Monopile weight [ton]</t>
  </si>
  <si>
    <t>TP weight [ton]</t>
  </si>
  <si>
    <t>k€/GW</t>
  </si>
  <si>
    <t>Overall total LCOE</t>
  </si>
  <si>
    <t>(Sub)total</t>
  </si>
  <si>
    <t>ProRES scenario turbine (total wind growth)</t>
  </si>
  <si>
    <t>Production [MWh/year]</t>
  </si>
  <si>
    <t xml:space="preserve">Park cable costs </t>
  </si>
  <si>
    <t>Export el. Infrastructure</t>
  </si>
  <si>
    <t>Reduction percentages</t>
  </si>
  <si>
    <t>Baseline scenario (offshore wind growth)</t>
  </si>
  <si>
    <t>Applied to</t>
  </si>
  <si>
    <t>Floating substructures</t>
  </si>
  <si>
    <t xml:space="preserve">Electrolyzer system </t>
  </si>
  <si>
    <t>Turbine + substructure</t>
  </si>
  <si>
    <t>Electricity export</t>
  </si>
  <si>
    <t>Project dev. etc.</t>
  </si>
  <si>
    <t>Proj. Dev. + other</t>
  </si>
  <si>
    <r>
      <rPr>
        <sz val="11"/>
        <color theme="1"/>
        <rFont val="Calibri"/>
        <family val="2"/>
        <scheme val="minor"/>
      </rPr>
      <t>€</t>
    </r>
    <r>
      <rPr>
        <sz val="10.45"/>
        <color theme="1"/>
        <rFont val="Calibri"/>
        <family val="2"/>
        <scheme val="minor"/>
      </rPr>
      <t>/kW/year</t>
    </r>
  </si>
  <si>
    <t>Operation (constant per tubine) - via Cataplut ratio</t>
  </si>
  <si>
    <t>Maintenance - % of Catapult turbine CAPEX</t>
  </si>
  <si>
    <t>O&amp;M total - % of Catapult turbine CAPEX</t>
  </si>
  <si>
    <t>Distance correction 30-60 km</t>
  </si>
  <si>
    <t>O&amp;M - turbine only</t>
  </si>
  <si>
    <r>
      <t>Ø</t>
    </r>
    <r>
      <rPr>
        <sz val="10.45"/>
        <color theme="1"/>
        <rFont val="Calibri"/>
        <family val="2"/>
      </rPr>
      <t>rsted 2019</t>
    </r>
  </si>
  <si>
    <t xml:space="preserve">Maintenance </t>
  </si>
  <si>
    <t>10 MW Catapult</t>
  </si>
  <si>
    <t>CAPEX" (incl. assembly and installation)  totals</t>
  </si>
  <si>
    <t>Maintenance turbine</t>
  </si>
  <si>
    <t>% of CAPEX"</t>
  </si>
  <si>
    <t>Catapult 2022</t>
  </si>
  <si>
    <t>10 MW 2035</t>
  </si>
  <si>
    <t>20 MW 2035</t>
  </si>
  <si>
    <t>Operations electricity infrastruure</t>
  </si>
  <si>
    <t>Cost reduction 2023-2035</t>
  </si>
  <si>
    <t>Cost reduction 2035-2050</t>
  </si>
  <si>
    <t>Bottom of turbine</t>
  </si>
  <si>
    <t>Turbine/monopile</t>
  </si>
  <si>
    <t>Cost reduction 2023-2050</t>
  </si>
  <si>
    <t>20 MW, 2050</t>
  </si>
  <si>
    <t>Quest RWE</t>
  </si>
  <si>
    <t xml:space="preserve">Quest RWE </t>
  </si>
  <si>
    <t>Floating platform</t>
  </si>
  <si>
    <t>Proj. development + other</t>
  </si>
  <si>
    <r>
      <t>M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/year</t>
    </r>
  </si>
  <si>
    <t>Maintenance (or O&amp;M)</t>
  </si>
  <si>
    <r>
      <t xml:space="preserve">Water costs (onshore) 3500 </t>
    </r>
    <r>
      <rPr>
        <sz val="11"/>
        <rFont val="Calibri"/>
        <family val="2"/>
      </rPr>
      <t>€/year. Neglected</t>
    </r>
  </si>
  <si>
    <r>
      <t xml:space="preserve">Desalination. </t>
    </r>
    <r>
      <rPr>
        <sz val="11"/>
        <color theme="1"/>
        <rFont val="Calibri"/>
        <family val="2"/>
      </rPr>
      <t>€</t>
    </r>
    <r>
      <rPr>
        <sz val="11"/>
        <color theme="1"/>
        <rFont val="Calibri"/>
        <family val="2"/>
        <scheme val="minor"/>
      </rPr>
      <t>500000/1 GW. Neglected</t>
    </r>
  </si>
  <si>
    <t>2023-2035</t>
  </si>
  <si>
    <t>Turbine operation</t>
  </si>
  <si>
    <t>Other operations</t>
  </si>
  <si>
    <t>Other maintenance, % of CAPEX</t>
  </si>
  <si>
    <t xml:space="preserve">Electrolyzer system CAPEX </t>
  </si>
  <si>
    <t>Installation and assembly</t>
  </si>
  <si>
    <t>Mechanical -&gt; electrochemical</t>
  </si>
  <si>
    <r>
      <t>Compressor CAPEX (63 M</t>
    </r>
    <r>
      <rPr>
        <sz val="11"/>
        <color theme="1"/>
        <rFont val="Calibri"/>
        <family val="2"/>
      </rPr>
      <t>€/1 GW 2020)</t>
    </r>
  </si>
  <si>
    <t>Substation - not necessary, inside an extra turbine</t>
  </si>
  <si>
    <t>Park  pipelines (12")</t>
  </si>
  <si>
    <t>Park pipelines total</t>
  </si>
  <si>
    <t>10 MW turbine</t>
  </si>
  <si>
    <t xml:space="preserve">Operations turbine </t>
  </si>
  <si>
    <t>Electricinfrastructure</t>
  </si>
  <si>
    <t>Maintenance electric infrastructure</t>
  </si>
  <si>
    <t>Maintence substructure</t>
  </si>
  <si>
    <t>M€/GW</t>
  </si>
  <si>
    <t>M€/GW/year</t>
  </si>
  <si>
    <r>
      <t>M</t>
    </r>
    <r>
      <rPr>
        <sz val="11"/>
        <color theme="1"/>
        <rFont val="Calibri"/>
        <family val="2"/>
      </rPr>
      <t>€/MW</t>
    </r>
    <r>
      <rPr>
        <sz val="11"/>
        <color theme="1"/>
        <rFont val="Calibri"/>
        <family val="2"/>
        <scheme val="minor"/>
      </rPr>
      <t>/year</t>
    </r>
  </si>
  <si>
    <t>M€/MW/year</t>
  </si>
  <si>
    <t>Maintenance &amp; Operation (2% of CAPEX)</t>
  </si>
  <si>
    <t>Electricity costs - fixed bottom</t>
  </si>
  <si>
    <t>Electricity costs - floating</t>
  </si>
  <si>
    <t xml:space="preserve">CAPEX </t>
  </si>
  <si>
    <t>O&amp;M (2% of CAPEX)</t>
  </si>
  <si>
    <t xml:space="preserve">OPEX/year </t>
  </si>
  <si>
    <t>Offsh hydrogen/onshore reception</t>
  </si>
  <si>
    <t>Offsh hydrogen at turbine bottom</t>
  </si>
  <si>
    <t>Offs hdrogen at turbine bottom</t>
  </si>
  <si>
    <t>LCOE/LCOH</t>
  </si>
  <si>
    <t>M€/GW FB</t>
  </si>
  <si>
    <t>Floating: used for the graph</t>
  </si>
  <si>
    <t>Used for the graph (linear interpolation)</t>
  </si>
  <si>
    <t>OPEX/year fixed bottom, incl. electricity</t>
  </si>
  <si>
    <t>OPEX/year floating, incl. electricity</t>
  </si>
  <si>
    <t>incl. in O&amp;M</t>
  </si>
  <si>
    <t>Installed wind onshore + offshore</t>
  </si>
  <si>
    <t>Growth GW</t>
  </si>
  <si>
    <t>On+ + offshore</t>
  </si>
  <si>
    <t>afname</t>
  </si>
  <si>
    <t>Turbine maintenance</t>
  </si>
  <si>
    <t>1 GW monopile park</t>
  </si>
  <si>
    <t>Slendernes adaption (for sensitivity analysis)</t>
  </si>
  <si>
    <t>2035; 60 km/30m</t>
  </si>
  <si>
    <t>O&amp;M percentage (for sensitivity analysis)</t>
  </si>
  <si>
    <t>Electrolyser CAPEX</t>
  </si>
  <si>
    <t>H2 onshore reception (LCOH)</t>
  </si>
  <si>
    <t>Distance between parks</t>
  </si>
  <si>
    <t>Export pipeline total (per connected park)</t>
  </si>
  <si>
    <t>Number of parks per export pipeline</t>
  </si>
  <si>
    <t xml:space="preserve">Export pipeline (48") </t>
  </si>
  <si>
    <t>Bottom fixed installation and assembly</t>
  </si>
  <si>
    <t>Floating substr, mooring, inst.</t>
  </si>
  <si>
    <t>Assembly - floating</t>
  </si>
  <si>
    <t>Assembly - bottom fixed</t>
  </si>
  <si>
    <t>Installation - bottom fixed</t>
  </si>
  <si>
    <t>Installation - floating</t>
  </si>
  <si>
    <t>CAPEX -bottom fixed</t>
  </si>
  <si>
    <t>CAPEX -floating</t>
  </si>
  <si>
    <t>CAPEX/year -bottom fixed</t>
  </si>
  <si>
    <t>CAPEX/year -floating</t>
  </si>
  <si>
    <t>OPEX/year - both</t>
  </si>
  <si>
    <t>turbine to sea bottom</t>
  </si>
  <si>
    <t>sensitivity</t>
  </si>
  <si>
    <t>Floating substructure/installation [% substr/inst]</t>
  </si>
  <si>
    <t>Monopiles - diameter</t>
  </si>
  <si>
    <t>Monopiles - steel weight</t>
  </si>
  <si>
    <t>Floating - substructure and installation</t>
  </si>
  <si>
    <t>/100 m depth</t>
  </si>
  <si>
    <t>for analysis</t>
  </si>
  <si>
    <t>Botton fixed</t>
  </si>
  <si>
    <t>Distance to coast (check)</t>
  </si>
  <si>
    <t>Depth (check)</t>
  </si>
  <si>
    <t>el. €/MWh</t>
  </si>
  <si>
    <t>H2 €/MWh</t>
  </si>
  <si>
    <r>
      <t xml:space="preserve">Hydrogen price in </t>
    </r>
    <r>
      <rPr>
        <b/>
        <sz val="11"/>
        <color theme="1"/>
        <rFont val="Calibri"/>
        <family val="2"/>
      </rPr>
      <t>€</t>
    </r>
    <r>
      <rPr>
        <b/>
        <sz val="10.45"/>
        <color theme="1"/>
        <rFont val="Calibri"/>
        <family val="2"/>
      </rPr>
      <t>/MWh</t>
    </r>
  </si>
  <si>
    <t>Hydrogen offshore production</t>
  </si>
  <si>
    <t>Hydrogen onshore production</t>
  </si>
  <si>
    <t>Electricity, including grid connection</t>
  </si>
  <si>
    <t xml:space="preserve">Bottom fixed </t>
  </si>
  <si>
    <t>Distance to shore</t>
  </si>
  <si>
    <t>min</t>
  </si>
  <si>
    <t>max</t>
  </si>
  <si>
    <t>step</t>
  </si>
  <si>
    <t>Parameters Koen</t>
  </si>
  <si>
    <t>maximum distance</t>
  </si>
  <si>
    <t>mininum distance</t>
  </si>
  <si>
    <t>mininum depth</t>
  </si>
  <si>
    <t>maximum depth</t>
  </si>
  <si>
    <t>Depth dependency</t>
  </si>
  <si>
    <t>Select distances</t>
  </si>
  <si>
    <t>Select depths</t>
  </si>
  <si>
    <t>Parameters</t>
  </si>
  <si>
    <t>Select parameters</t>
  </si>
  <si>
    <t>Data for export to Matlab</t>
  </si>
  <si>
    <t>LCOHe</t>
  </si>
  <si>
    <t>per 100 km</t>
  </si>
  <si>
    <t>Input value on sheet results</t>
  </si>
  <si>
    <t>-</t>
  </si>
  <si>
    <t>Frequency (0 for DC)</t>
  </si>
  <si>
    <t>Pipeline efficiency/roughness</t>
  </si>
  <si>
    <t>Backbone used capacity</t>
  </si>
  <si>
    <t>Converter energy efficiency</t>
  </si>
  <si>
    <t>Adiabatic efficiency</t>
  </si>
  <si>
    <t>Electrolyser energy efficiency (with compresion)</t>
  </si>
  <si>
    <t>Parameters for Matlab internal use</t>
  </si>
  <si>
    <t>USED</t>
  </si>
  <si>
    <t>m/s</t>
  </si>
  <si>
    <t>kV</t>
  </si>
  <si>
    <t>A</t>
  </si>
  <si>
    <t>mm2</t>
  </si>
  <si>
    <t>uF/km</t>
  </si>
  <si>
    <t>Hz (0 for DC)</t>
  </si>
  <si>
    <t>Ohm*mm2/m</t>
  </si>
  <si>
    <t>inch</t>
  </si>
  <si>
    <t>Frequency</t>
  </si>
  <si>
    <t xml:space="preserve">Material resistivity </t>
  </si>
  <si>
    <t xml:space="preserve">Capacitance </t>
  </si>
  <si>
    <t>Cross-section of conductor</t>
  </si>
  <si>
    <t xml:space="preserve">Current rating </t>
  </si>
  <si>
    <t>Voltage rating</t>
  </si>
  <si>
    <t>Power rating</t>
  </si>
  <si>
    <t>Hub height</t>
  </si>
  <si>
    <t>Turbine diameter</t>
  </si>
  <si>
    <t xml:space="preserve">Max wind speed </t>
  </si>
  <si>
    <t>Min wind speed</t>
  </si>
  <si>
    <t>Electrolyser efficiency</t>
  </si>
  <si>
    <t>Current rating</t>
  </si>
  <si>
    <t>Capacitance</t>
  </si>
  <si>
    <t>Material resistivity</t>
  </si>
  <si>
    <t>Diameter pipe - park internal</t>
  </si>
  <si>
    <t>Diameter pipe - export pipeline (backbone)</t>
  </si>
  <si>
    <t xml:space="preserve">Turbine </t>
  </si>
  <si>
    <t>H2 pipelines</t>
  </si>
  <si>
    <t>H2 compression</t>
  </si>
  <si>
    <t xml:space="preserve">Electrolyser </t>
  </si>
  <si>
    <t xml:space="preserve">Electrolyser operating pressure pressure </t>
  </si>
  <si>
    <t>Farm size and power</t>
  </si>
  <si>
    <t>turbines per row</t>
  </si>
  <si>
    <t>max. nr of turbine rows</t>
  </si>
  <si>
    <t>power</t>
  </si>
  <si>
    <t>depth [m]</t>
  </si>
  <si>
    <t>distance [km]</t>
  </si>
  <si>
    <t>OUD</t>
  </si>
  <si>
    <t>Dividing the resulting overall yearly cost by the yearly produced amount of electricity/hydrogen (location dependent - MATLAB) gives the LCOE/LCOH</t>
  </si>
  <si>
    <t>Costs export to Matlab</t>
  </si>
  <si>
    <r>
      <t>Yearly costs [M</t>
    </r>
    <r>
      <rPr>
        <sz val="11"/>
        <color theme="1"/>
        <rFont val="Calibri"/>
        <family val="2"/>
      </rPr>
      <t>€/year], without energy costs for hydrogen compression and costs of electricity losses during transport, that are added in Matlab</t>
    </r>
    <r>
      <rPr>
        <sz val="11"/>
        <color theme="1"/>
        <rFont val="Calibri"/>
        <family val="2"/>
        <scheme val="minor"/>
      </rPr>
      <t>. 2050 values.</t>
    </r>
  </si>
  <si>
    <t>Data for distance graphs</t>
  </si>
  <si>
    <t>Data for depth graphs</t>
  </si>
  <si>
    <t>Breakeven depth floating/bottom fixed [m]</t>
  </si>
  <si>
    <t>Backbone pressure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</si>
</sst>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9">
    <numFmt numFmtId="44" formatCode="_-&quot;£&quot;* #,##0.00_-;\-&quot;£&quot;* #,##0.00_-;_-&quot;£&quot;* &quot;-&quot;??_-;_-@_-"/>
    <numFmt numFmtId="164" formatCode="_ * #,##0.00_ ;_ * \-#,##0.00_ ;_ * &quot;-&quot;??_ ;_ @_ "/>
    <numFmt numFmtId="165" formatCode="0.0"/>
    <numFmt numFmtId="166" formatCode="0.0%"/>
    <numFmt numFmtId="167" formatCode="0.000"/>
    <numFmt numFmtId="168" formatCode="0.0000"/>
    <numFmt numFmtId="169" formatCode="_ * #,##0.0000_ ;_ * \-#,##0.0000_ ;_ * &quot;-&quot;??_ ;_ @_ "/>
    <numFmt numFmtId="170" formatCode="#,##0_ ;\-#,##0\ "/>
    <numFmt numFmtId="171" formatCode="#,##0.0000_ ;\-#,##0.0000\ "/>
  </numFmts>
  <fonts count="3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indexed="8"/>
      <name val="Calibri"/>
      <family val="2"/>
      <scheme val="minor"/>
    </font>
    <font>
      <sz val="11"/>
      <name val="Calibri"/>
      <family val="2"/>
      <scheme val="minor"/>
    </font>
    <font>
      <sz val="11"/>
      <color theme="2" tint="-0.499984740745262"/>
      <name val="Calibri"/>
      <family val="2"/>
      <scheme val="minor"/>
    </font>
    <font>
      <sz val="11"/>
      <color theme="1"/>
      <name val="Calibri"/>
      <family val="2"/>
    </font>
    <font>
      <i/>
      <sz val="11"/>
      <color theme="1"/>
      <name val="Calibri"/>
      <family val="2"/>
      <scheme val="minor"/>
    </font>
    <font>
      <b/>
      <sz val="11"/>
      <name val="Calibri"/>
      <family val="2"/>
      <scheme val="minor"/>
    </font>
    <font>
      <b/>
      <i/>
      <sz val="11"/>
      <color theme="1"/>
      <name val="Calibri"/>
      <family val="2"/>
      <scheme val="minor"/>
    </font>
    <font>
      <b/>
      <sz val="11"/>
      <color theme="1"/>
      <name val="Calibri"/>
      <family val="2"/>
    </font>
    <font>
      <sz val="9"/>
      <color indexed="81"/>
      <name val="Tahoma"/>
      <family val="2"/>
    </font>
    <font>
      <b/>
      <sz val="9"/>
      <color indexed="81"/>
      <name val="Tahoma"/>
      <family val="2"/>
    </font>
    <font>
      <sz val="11"/>
      <color theme="0"/>
      <name val="Calibri"/>
      <family val="2"/>
      <scheme val="minor"/>
    </font>
    <font>
      <sz val="11"/>
      <color rgb="FF2F5496"/>
      <name val="Calibri"/>
      <family val="2"/>
    </font>
    <font>
      <b/>
      <sz val="11"/>
      <name val="Calibri"/>
      <family val="2"/>
    </font>
    <font>
      <sz val="11"/>
      <name val="Calibri"/>
      <family val="2"/>
    </font>
    <font>
      <sz val="11"/>
      <color theme="2" tint="-0.249977111117893"/>
      <name val="Calibri"/>
      <family val="2"/>
      <scheme val="minor"/>
    </font>
    <font>
      <i/>
      <sz val="11"/>
      <color theme="0"/>
      <name val="Calibri"/>
      <family val="2"/>
      <scheme val="minor"/>
    </font>
    <font>
      <b/>
      <sz val="18"/>
      <color theme="1"/>
      <name val="Calibri"/>
      <family val="2"/>
      <scheme val="minor"/>
    </font>
    <font>
      <sz val="10.45"/>
      <color theme="1"/>
      <name val="Calibri"/>
      <family val="2"/>
    </font>
    <font>
      <sz val="10.45"/>
      <color theme="1"/>
      <name val="Calibri"/>
      <family val="2"/>
      <scheme val="minor"/>
    </font>
    <font>
      <i/>
      <sz val="11"/>
      <name val="Calibri"/>
      <family val="2"/>
      <scheme val="minor"/>
    </font>
    <font>
      <b/>
      <sz val="10.45"/>
      <color theme="1"/>
      <name val="Calibri"/>
      <family val="2"/>
    </font>
    <font>
      <b/>
      <sz val="11"/>
      <color theme="0"/>
      <name val="Calibri"/>
      <family val="2"/>
      <scheme val="minor"/>
    </font>
    <font>
      <u/>
      <sz val="11"/>
      <color theme="10"/>
      <name val="Calibri"/>
      <family val="2"/>
      <scheme val="minor"/>
    </font>
    <font>
      <b/>
      <sz val="11"/>
      <color theme="1"/>
      <name val="Arial"/>
      <family val="2"/>
    </font>
    <font>
      <sz val="10"/>
      <color theme="1"/>
      <name val="Arial"/>
      <family val="2"/>
    </font>
    <font>
      <sz val="11"/>
      <color rgb="FF202122"/>
      <name val="Arial"/>
      <family val="2"/>
    </font>
    <font>
      <b/>
      <sz val="10"/>
      <color theme="1"/>
      <name val="Arial"/>
      <family val="2"/>
    </font>
  </fonts>
  <fills count="26">
    <fill>
      <patternFill patternType="none"/>
    </fill>
    <fill>
      <patternFill patternType="gray125"/>
    </fill>
    <fill>
      <patternFill patternType="solid">
        <fgColor rgb="FFFFFF00"/>
        <bgColor indexed="64"/>
      </patternFill>
    </fill>
    <fill>
      <patternFill patternType="solid">
        <fgColor theme="7" tint="0.59999389629810485"/>
        <bgColor indexed="64"/>
      </patternFill>
    </fill>
    <fill>
      <patternFill patternType="solid">
        <fgColor theme="5" tint="0.59999389629810485"/>
        <bgColor indexed="64"/>
      </patternFill>
    </fill>
    <fill>
      <patternFill patternType="solid">
        <fgColor theme="7" tint="0.39997558519241921"/>
        <bgColor indexed="64"/>
      </patternFill>
    </fill>
    <fill>
      <patternFill patternType="solid">
        <fgColor theme="5" tint="0.79998168889431442"/>
        <bgColor indexed="64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6" tint="-0.249977111117893"/>
        <bgColor indexed="64"/>
      </patternFill>
    </fill>
    <fill>
      <patternFill patternType="solid">
        <fgColor theme="9" tint="0.59999389629810485"/>
        <bgColor indexed="64"/>
      </patternFill>
    </fill>
    <fill>
      <patternFill patternType="solid">
        <fgColor theme="8" tint="0.39997558519241921"/>
        <bgColor indexed="64"/>
      </patternFill>
    </fill>
    <fill>
      <patternFill patternType="solid">
        <fgColor theme="5"/>
        <bgColor indexed="64"/>
      </patternFill>
    </fill>
    <fill>
      <patternFill patternType="solid">
        <fgColor theme="6" tint="0.59999389629810485"/>
        <bgColor indexed="64"/>
      </patternFill>
    </fill>
    <fill>
      <patternFill patternType="solid">
        <fgColor theme="9" tint="-0.249977111117893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2" tint="-0.249977111117893"/>
        <bgColor indexed="64"/>
      </patternFill>
    </fill>
    <fill>
      <patternFill patternType="solid">
        <fgColor theme="5" tint="-0.249977111117893"/>
        <bgColor indexed="64"/>
      </patternFill>
    </fill>
    <fill>
      <patternFill patternType="solid">
        <fgColor theme="9" tint="0.39997558519241921"/>
        <bgColor indexed="64"/>
      </patternFill>
    </fill>
    <fill>
      <patternFill patternType="solid">
        <fgColor rgb="FFD9EAD3"/>
        <bgColor indexed="64"/>
      </patternFill>
    </fill>
    <fill>
      <patternFill patternType="solid">
        <fgColor rgb="FFFCE5CD"/>
        <bgColor indexed="64"/>
      </patternFill>
    </fill>
    <fill>
      <patternFill patternType="solid">
        <fgColor rgb="FFF4CCCC"/>
        <bgColor indexed="64"/>
      </patternFill>
    </fill>
    <fill>
      <patternFill patternType="solid">
        <fgColor rgb="FFEFB081"/>
        <bgColor indexed="64"/>
      </patternFill>
    </fill>
    <fill>
      <patternFill patternType="solid">
        <fgColor theme="1"/>
        <bgColor indexed="64"/>
      </patternFill>
    </fill>
    <fill>
      <patternFill patternType="solid">
        <fgColor theme="4" tint="0.59999389629810485"/>
        <bgColor indexed="64"/>
      </patternFill>
    </fill>
  </fills>
  <borders count="46">
    <border>
      <left/>
      <right/>
      <top/>
      <bottom/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 style="medium">
        <color indexed="64"/>
      </top>
      <bottom/>
      <diagonal/>
    </border>
    <border>
      <left/>
      <right/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/>
      <diagonal/>
    </border>
    <border>
      <left style="medium">
        <color rgb="FFCCCCCC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rgb="FFCCCCCC"/>
      </left>
      <right/>
      <top/>
      <bottom/>
      <diagonal/>
    </border>
    <border>
      <left/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/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indexed="64"/>
      </right>
      <top style="medium">
        <color rgb="FFCCCCCC"/>
      </top>
      <bottom style="medium">
        <color indexed="64"/>
      </bottom>
      <diagonal/>
    </border>
    <border>
      <left style="medium">
        <color rgb="FFCCCCCC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 style="medium">
        <color rgb="FFCCCCCC"/>
      </top>
      <bottom/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rgb="FFCCCCCC"/>
      </bottom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rgb="FFCCCCCC"/>
      </right>
      <top/>
      <bottom/>
      <diagonal/>
    </border>
    <border>
      <left style="medium">
        <color rgb="FFCCCCCC"/>
      </left>
      <right style="medium">
        <color indexed="64"/>
      </right>
      <top/>
      <bottom/>
      <diagonal/>
    </border>
    <border>
      <left style="medium">
        <color indexed="64"/>
      </left>
      <right style="medium">
        <color rgb="FFCCCCCC"/>
      </right>
      <top style="medium">
        <color rgb="FFCCCCCC"/>
      </top>
      <bottom/>
      <diagonal/>
    </border>
    <border>
      <left style="medium">
        <color indexed="64"/>
      </left>
      <right style="medium">
        <color rgb="FFCCCCCC"/>
      </right>
      <top/>
      <bottom style="medium">
        <color rgb="FFCCCCCC"/>
      </bottom>
      <diagonal/>
    </border>
    <border>
      <left style="medium">
        <color rgb="FFCCCCCC"/>
      </left>
      <right style="medium">
        <color indexed="64"/>
      </right>
      <top/>
      <bottom style="medium">
        <color rgb="FFCCCCCC"/>
      </bottom>
      <diagonal/>
    </border>
    <border>
      <left style="medium">
        <color indexed="64"/>
      </left>
      <right/>
      <top style="medium">
        <color rgb="FFCCCCCC"/>
      </top>
      <bottom/>
      <diagonal/>
    </border>
  </borders>
  <cellStyleXfs count="6">
    <xf numFmtId="0" fontId="0" fillId="0" borderId="0"/>
    <xf numFmtId="0" fontId="3" fillId="0" borderId="0"/>
    <xf numFmtId="9" fontId="1" fillId="0" borderId="0" applyFont="0" applyFill="0" applyBorder="0" applyAlignment="0" applyProtection="0"/>
    <xf numFmtId="164" fontId="1" fillId="0" borderId="0" applyFont="0" applyFill="0" applyBorder="0" applyAlignment="0" applyProtection="0"/>
    <xf numFmtId="0" fontId="25" fillId="0" borderId="0" applyNumberFormat="0" applyFill="0" applyBorder="0" applyAlignment="0" applyProtection="0"/>
    <xf numFmtId="44" fontId="1" fillId="0" borderId="0" applyFont="0" applyFill="0" applyBorder="0" applyAlignment="0" applyProtection="0"/>
  </cellStyleXfs>
  <cellXfs count="1014">
    <xf numFmtId="0" fontId="0" fillId="0" borderId="0" xfId="0"/>
    <xf numFmtId="0" fontId="0" fillId="0" borderId="0" xfId="0" applyFill="1" applyBorder="1"/>
    <xf numFmtId="0" fontId="0" fillId="0" borderId="0" xfId="0" applyFill="1" applyBorder="1" applyAlignment="1">
      <alignment wrapText="1"/>
    </xf>
    <xf numFmtId="1" fontId="0" fillId="0" borderId="0" xfId="0" applyNumberFormat="1" applyFill="1" applyBorder="1" applyAlignment="1">
      <alignment horizontal="center"/>
    </xf>
    <xf numFmtId="0" fontId="2" fillId="0" borderId="0" xfId="0" applyFont="1" applyFill="1" applyBorder="1"/>
    <xf numFmtId="0" fontId="4" fillId="0" borderId="0" xfId="0" applyFont="1" applyFill="1" applyBorder="1" applyAlignment="1">
      <alignment horizontal="center"/>
    </xf>
    <xf numFmtId="9" fontId="0" fillId="0" borderId="0" xfId="0" applyNumberFormat="1"/>
    <xf numFmtId="0" fontId="0" fillId="0" borderId="0" xfId="0" quotePrefix="1"/>
    <xf numFmtId="0" fontId="2" fillId="0" borderId="0" xfId="0" applyFont="1"/>
    <xf numFmtId="0" fontId="0" fillId="0" borderId="0" xfId="0" applyFill="1" applyBorder="1" applyAlignment="1">
      <alignment vertical="center" wrapText="1"/>
    </xf>
    <xf numFmtId="0" fontId="0" fillId="0" borderId="4" xfId="0" applyBorder="1" applyAlignment="1">
      <alignment horizontal="center" vertical="center" wrapText="1"/>
    </xf>
    <xf numFmtId="0" fontId="0" fillId="0" borderId="3" xfId="0" applyBorder="1" applyAlignment="1">
      <alignment horizontal="center" vertical="center" wrapText="1"/>
    </xf>
    <xf numFmtId="1" fontId="0" fillId="0" borderId="4" xfId="0" applyNumberFormat="1" applyBorder="1" applyAlignment="1">
      <alignment horizontal="center" vertical="center" wrapText="1"/>
    </xf>
    <xf numFmtId="2" fontId="0" fillId="0" borderId="1" xfId="0" applyNumberFormat="1" applyBorder="1" applyAlignment="1">
      <alignment horizontal="center"/>
    </xf>
    <xf numFmtId="165" fontId="0" fillId="0" borderId="5" xfId="0" applyNumberFormat="1" applyBorder="1" applyAlignment="1">
      <alignment horizontal="center"/>
    </xf>
    <xf numFmtId="2" fontId="0" fillId="0" borderId="3" xfId="0" applyNumberFormat="1" applyBorder="1" applyAlignment="1">
      <alignment horizontal="center"/>
    </xf>
    <xf numFmtId="2" fontId="0" fillId="0" borderId="0" xfId="0" applyNumberFormat="1"/>
    <xf numFmtId="1" fontId="0" fillId="0" borderId="0" xfId="0" applyNumberFormat="1"/>
    <xf numFmtId="0" fontId="7" fillId="0" borderId="0" xfId="0" applyFont="1"/>
    <xf numFmtId="0" fontId="0" fillId="0" borderId="6" xfId="0" applyBorder="1"/>
    <xf numFmtId="0" fontId="0" fillId="0" borderId="7" xfId="0" applyBorder="1"/>
    <xf numFmtId="0" fontId="0" fillId="0" borderId="8" xfId="0" applyBorder="1"/>
    <xf numFmtId="0" fontId="0" fillId="0" borderId="0" xfId="0" applyAlignment="1">
      <alignment horizontal="right"/>
    </xf>
    <xf numFmtId="0" fontId="0" fillId="0" borderId="9" xfId="0" applyBorder="1" applyAlignment="1">
      <alignment horizontal="center"/>
    </xf>
    <xf numFmtId="0" fontId="0" fillId="0" borderId="10" xfId="0" applyBorder="1" applyAlignment="1">
      <alignment horizontal="center"/>
    </xf>
    <xf numFmtId="0" fontId="0" fillId="0" borderId="0" xfId="0" applyFill="1"/>
    <xf numFmtId="1" fontId="0" fillId="0" borderId="0" xfId="0" applyNumberFormat="1" applyBorder="1" applyAlignment="1">
      <alignment horizontal="center"/>
    </xf>
    <xf numFmtId="1" fontId="0" fillId="3" borderId="12" xfId="0" applyNumberFormat="1" applyFill="1" applyBorder="1" applyAlignment="1">
      <alignment horizontal="center"/>
    </xf>
    <xf numFmtId="0" fontId="0" fillId="0" borderId="11" xfId="0" applyBorder="1"/>
    <xf numFmtId="0" fontId="0" fillId="0" borderId="4" xfId="0" applyBorder="1"/>
    <xf numFmtId="0" fontId="0" fillId="0" borderId="14" xfId="0" applyBorder="1"/>
    <xf numFmtId="0" fontId="0" fillId="0" borderId="1" xfId="0" applyBorder="1" applyAlignment="1">
      <alignment horizontal="center"/>
    </xf>
    <xf numFmtId="0" fontId="0" fillId="0" borderId="1" xfId="0" applyBorder="1"/>
    <xf numFmtId="0" fontId="0" fillId="0" borderId="0" xfId="0" applyBorder="1"/>
    <xf numFmtId="0" fontId="0" fillId="0" borderId="15" xfId="0" applyBorder="1"/>
    <xf numFmtId="0" fontId="0" fillId="0" borderId="15" xfId="0" applyBorder="1" applyAlignment="1">
      <alignment horizontal="center"/>
    </xf>
    <xf numFmtId="0" fontId="0" fillId="0" borderId="3" xfId="0" applyBorder="1" applyAlignment="1">
      <alignment horizontal="center"/>
    </xf>
    <xf numFmtId="0" fontId="2" fillId="2" borderId="6" xfId="0" applyFont="1" applyFill="1" applyBorder="1"/>
    <xf numFmtId="0" fontId="2" fillId="2" borderId="14" xfId="0" applyFont="1" applyFill="1" applyBorder="1"/>
    <xf numFmtId="0" fontId="2" fillId="2" borderId="2" xfId="0" applyFont="1" applyFill="1" applyBorder="1"/>
    <xf numFmtId="0" fontId="0" fillId="0" borderId="3" xfId="0" applyBorder="1"/>
    <xf numFmtId="1" fontId="0" fillId="0" borderId="1" xfId="0" applyNumberFormat="1" applyBorder="1"/>
    <xf numFmtId="1" fontId="0" fillId="0" borderId="3" xfId="0" applyNumberFormat="1" applyBorder="1"/>
    <xf numFmtId="1" fontId="0" fillId="0" borderId="1" xfId="0" applyNumberFormat="1" applyBorder="1" applyAlignment="1">
      <alignment horizontal="center"/>
    </xf>
    <xf numFmtId="1" fontId="0" fillId="0" borderId="15" xfId="0" applyNumberFormat="1" applyBorder="1" applyAlignment="1">
      <alignment horizontal="center"/>
    </xf>
    <xf numFmtId="0" fontId="0" fillId="0" borderId="5" xfId="0" applyBorder="1"/>
    <xf numFmtId="165" fontId="0" fillId="0" borderId="0" xfId="0" applyNumberFormat="1"/>
    <xf numFmtId="0" fontId="0" fillId="0" borderId="9" xfId="0" applyBorder="1"/>
    <xf numFmtId="0" fontId="0" fillId="0" borderId="10" xfId="0" applyBorder="1"/>
    <xf numFmtId="9" fontId="0" fillId="0" borderId="5" xfId="0" applyNumberFormat="1" applyBorder="1" applyAlignment="1">
      <alignment horizontal="center"/>
    </xf>
    <xf numFmtId="9" fontId="0" fillId="0" borderId="15" xfId="0" applyNumberFormat="1" applyBorder="1" applyAlignment="1">
      <alignment horizontal="center"/>
    </xf>
    <xf numFmtId="9" fontId="0" fillId="0" borderId="3" xfId="0" applyNumberFormat="1" applyBorder="1" applyAlignment="1">
      <alignment horizontal="center"/>
    </xf>
    <xf numFmtId="165" fontId="0" fillId="0" borderId="15" xfId="0" applyNumberFormat="1" applyBorder="1" applyAlignment="1">
      <alignment horizontal="center"/>
    </xf>
    <xf numFmtId="9" fontId="0" fillId="0" borderId="1" xfId="0" applyNumberFormat="1" applyBorder="1" applyAlignment="1">
      <alignment horizontal="center"/>
    </xf>
    <xf numFmtId="0" fontId="2" fillId="2" borderId="13" xfId="0" applyFont="1" applyFill="1" applyBorder="1"/>
    <xf numFmtId="0" fontId="2" fillId="2" borderId="1" xfId="0" applyFont="1" applyFill="1" applyBorder="1" applyAlignment="1">
      <alignment horizontal="center"/>
    </xf>
    <xf numFmtId="0" fontId="0" fillId="0" borderId="5" xfId="0" applyBorder="1" applyAlignment="1">
      <alignment horizontal="center"/>
    </xf>
    <xf numFmtId="1" fontId="0" fillId="0" borderId="3" xfId="0" applyNumberFormat="1" applyBorder="1" applyAlignment="1">
      <alignment horizontal="center"/>
    </xf>
    <xf numFmtId="1" fontId="0" fillId="0" borderId="5" xfId="0" applyNumberFormat="1" applyBorder="1" applyAlignment="1">
      <alignment horizontal="center"/>
    </xf>
    <xf numFmtId="0" fontId="0" fillId="2" borderId="1" xfId="0" applyFill="1" applyBorder="1" applyAlignment="1">
      <alignment horizontal="center"/>
    </xf>
    <xf numFmtId="0" fontId="2" fillId="2" borderId="1" xfId="0" applyFont="1" applyFill="1" applyBorder="1"/>
    <xf numFmtId="0" fontId="0" fillId="2" borderId="13" xfId="0" applyFill="1" applyBorder="1"/>
    <xf numFmtId="0" fontId="0" fillId="2" borderId="2" xfId="0" applyFill="1" applyBorder="1"/>
    <xf numFmtId="0" fontId="2" fillId="0" borderId="1" xfId="0" applyFont="1" applyBorder="1" applyAlignment="1">
      <alignment horizontal="center"/>
    </xf>
    <xf numFmtId="0" fontId="2" fillId="0" borderId="0" xfId="0" applyFont="1" applyBorder="1" applyAlignment="1">
      <alignment horizontal="center"/>
    </xf>
    <xf numFmtId="166" fontId="0" fillId="0" borderId="15" xfId="0" applyNumberFormat="1" applyBorder="1" applyAlignment="1">
      <alignment horizontal="center"/>
    </xf>
    <xf numFmtId="166" fontId="0" fillId="0" borderId="10" xfId="0" applyNumberFormat="1" applyBorder="1" applyAlignment="1">
      <alignment horizontal="center"/>
    </xf>
    <xf numFmtId="1" fontId="0" fillId="0" borderId="9" xfId="0" applyNumberFormat="1" applyBorder="1" applyAlignment="1">
      <alignment horizontal="center"/>
    </xf>
    <xf numFmtId="0" fontId="0" fillId="0" borderId="12" xfId="0" applyBorder="1"/>
    <xf numFmtId="0" fontId="2" fillId="0" borderId="15" xfId="0" applyFont="1" applyBorder="1"/>
    <xf numFmtId="0" fontId="0" fillId="0" borderId="4" xfId="0" applyFill="1" applyBorder="1" applyAlignment="1">
      <alignment horizontal="center"/>
    </xf>
    <xf numFmtId="0" fontId="6" fillId="0" borderId="1" xfId="0" applyFont="1" applyBorder="1" applyAlignment="1">
      <alignment horizontal="center"/>
    </xf>
    <xf numFmtId="2" fontId="0" fillId="0" borderId="15" xfId="0" applyNumberFormat="1" applyBorder="1" applyAlignment="1">
      <alignment horizontal="center"/>
    </xf>
    <xf numFmtId="0" fontId="0" fillId="2" borderId="1" xfId="0" applyFill="1" applyBorder="1"/>
    <xf numFmtId="0" fontId="0" fillId="0" borderId="11" xfId="0" applyBorder="1" applyAlignment="1">
      <alignment horizontal="center"/>
    </xf>
    <xf numFmtId="0" fontId="6" fillId="0" borderId="12" xfId="0" applyFont="1" applyBorder="1" applyAlignment="1">
      <alignment horizontal="center"/>
    </xf>
    <xf numFmtId="2" fontId="0" fillId="0" borderId="7" xfId="0" applyNumberFormat="1" applyBorder="1" applyAlignment="1">
      <alignment horizontal="center"/>
    </xf>
    <xf numFmtId="2" fontId="0" fillId="0" borderId="0" xfId="0" applyNumberFormat="1" applyBorder="1" applyAlignment="1">
      <alignment horizontal="center"/>
    </xf>
    <xf numFmtId="2" fontId="0" fillId="0" borderId="12" xfId="0" applyNumberFormat="1" applyBorder="1" applyAlignment="1">
      <alignment horizontal="center"/>
    </xf>
    <xf numFmtId="2" fontId="0" fillId="0" borderId="8" xfId="0" applyNumberFormat="1" applyBorder="1" applyAlignment="1">
      <alignment horizontal="center"/>
    </xf>
    <xf numFmtId="2" fontId="0" fillId="0" borderId="10" xfId="0" applyNumberFormat="1" applyBorder="1" applyAlignment="1">
      <alignment horizontal="center"/>
    </xf>
    <xf numFmtId="2" fontId="0" fillId="0" borderId="4" xfId="0" applyNumberFormat="1" applyBorder="1" applyAlignment="1">
      <alignment horizontal="center"/>
    </xf>
    <xf numFmtId="0" fontId="0" fillId="0" borderId="4" xfId="0" applyBorder="1" applyAlignment="1">
      <alignment horizontal="center"/>
    </xf>
    <xf numFmtId="2" fontId="0" fillId="0" borderId="5" xfId="0" applyNumberFormat="1" applyBorder="1" applyAlignment="1">
      <alignment horizontal="center"/>
    </xf>
    <xf numFmtId="2" fontId="0" fillId="0" borderId="6" xfId="0" applyNumberFormat="1" applyBorder="1" applyAlignment="1">
      <alignment horizontal="center"/>
    </xf>
    <xf numFmtId="2" fontId="0" fillId="0" borderId="9" xfId="0" applyNumberFormat="1" applyBorder="1" applyAlignment="1">
      <alignment horizontal="center"/>
    </xf>
    <xf numFmtId="2" fontId="0" fillId="0" borderId="11" xfId="0" applyNumberFormat="1" applyBorder="1" applyAlignment="1">
      <alignment horizontal="center"/>
    </xf>
    <xf numFmtId="166" fontId="0" fillId="0" borderId="5" xfId="0" applyNumberFormat="1" applyBorder="1" applyAlignment="1">
      <alignment horizontal="center"/>
    </xf>
    <xf numFmtId="0" fontId="0" fillId="2" borderId="0" xfId="0" applyFill="1"/>
    <xf numFmtId="9" fontId="0" fillId="0" borderId="9" xfId="0" applyNumberFormat="1" applyBorder="1" applyAlignment="1">
      <alignment horizontal="center"/>
    </xf>
    <xf numFmtId="0" fontId="9" fillId="0" borderId="0" xfId="0" applyFont="1"/>
    <xf numFmtId="0" fontId="0" fillId="0" borderId="3" xfId="0" applyFont="1" applyBorder="1" applyAlignment="1">
      <alignment horizontal="center" vertical="center" wrapText="1"/>
    </xf>
    <xf numFmtId="0" fontId="0" fillId="0" borderId="4" xfId="0" applyFont="1" applyBorder="1" applyAlignment="1">
      <alignment horizontal="center" vertical="center" wrapText="1"/>
    </xf>
    <xf numFmtId="0" fontId="2" fillId="0" borderId="4" xfId="0" applyFont="1" applyBorder="1" applyAlignment="1">
      <alignment horizontal="center" vertical="center" wrapText="1"/>
    </xf>
    <xf numFmtId="1" fontId="0" fillId="0" borderId="5" xfId="0" applyNumberFormat="1" applyFont="1" applyBorder="1" applyAlignment="1">
      <alignment horizontal="center"/>
    </xf>
    <xf numFmtId="1" fontId="0" fillId="0" borderId="15" xfId="0" applyNumberFormat="1" applyFont="1" applyBorder="1" applyAlignment="1">
      <alignment horizontal="center"/>
    </xf>
    <xf numFmtId="166" fontId="0" fillId="0" borderId="1" xfId="0" applyNumberFormat="1" applyBorder="1" applyAlignment="1">
      <alignment horizontal="center"/>
    </xf>
    <xf numFmtId="2" fontId="0" fillId="0" borderId="3" xfId="0" applyNumberFormat="1" applyBorder="1"/>
    <xf numFmtId="1" fontId="0" fillId="0" borderId="0" xfId="0" applyNumberFormat="1" applyAlignment="1">
      <alignment horizontal="center"/>
    </xf>
    <xf numFmtId="0" fontId="0" fillId="0" borderId="0" xfId="0" applyAlignment="1">
      <alignment wrapText="1"/>
    </xf>
    <xf numFmtId="0" fontId="0" fillId="0" borderId="1" xfId="0" applyBorder="1" applyAlignment="1">
      <alignment horizontal="center" wrapText="1"/>
    </xf>
    <xf numFmtId="0" fontId="0" fillId="0" borderId="14" xfId="0" applyFill="1" applyBorder="1" applyAlignment="1">
      <alignment horizontal="center"/>
    </xf>
    <xf numFmtId="0" fontId="0" fillId="0" borderId="14" xfId="0" applyBorder="1" applyAlignment="1">
      <alignment wrapText="1"/>
    </xf>
    <xf numFmtId="1" fontId="0" fillId="0" borderId="0" xfId="0" applyNumberFormat="1" applyBorder="1"/>
    <xf numFmtId="0" fontId="0" fillId="0" borderId="0" xfId="0" applyBorder="1" applyAlignment="1">
      <alignment wrapText="1"/>
    </xf>
    <xf numFmtId="0" fontId="0" fillId="0" borderId="13" xfId="0" applyBorder="1"/>
    <xf numFmtId="0" fontId="0" fillId="2" borderId="15" xfId="0" applyFill="1" applyBorder="1" applyAlignment="1">
      <alignment horizontal="center"/>
    </xf>
    <xf numFmtId="2" fontId="0" fillId="0" borderId="0" xfId="0" applyNumberFormat="1" applyFill="1" applyBorder="1" applyAlignment="1">
      <alignment horizontal="center"/>
    </xf>
    <xf numFmtId="0" fontId="0" fillId="0" borderId="1" xfId="0" applyFill="1" applyBorder="1" applyAlignment="1">
      <alignment horizontal="center"/>
    </xf>
    <xf numFmtId="2" fontId="0" fillId="0" borderId="15" xfId="0" applyNumberFormat="1" applyFill="1" applyBorder="1" applyAlignment="1">
      <alignment horizontal="center"/>
    </xf>
    <xf numFmtId="2" fontId="0" fillId="0" borderId="3" xfId="0" applyNumberFormat="1" applyFill="1" applyBorder="1" applyAlignment="1">
      <alignment horizontal="center"/>
    </xf>
    <xf numFmtId="0" fontId="0" fillId="0" borderId="0" xfId="0" applyFill="1" applyBorder="1" applyAlignment="1">
      <alignment vertical="center"/>
    </xf>
    <xf numFmtId="0" fontId="0" fillId="0" borderId="6" xfId="0" applyFill="1" applyBorder="1" applyAlignment="1">
      <alignment horizontal="center"/>
    </xf>
    <xf numFmtId="0" fontId="0" fillId="0" borderId="5" xfId="0" applyFill="1" applyBorder="1" applyAlignment="1">
      <alignment horizontal="center"/>
    </xf>
    <xf numFmtId="0" fontId="0" fillId="0" borderId="8" xfId="0" applyFill="1" applyBorder="1" applyAlignment="1">
      <alignment horizontal="center"/>
    </xf>
    <xf numFmtId="0" fontId="0" fillId="0" borderId="9" xfId="0" applyFill="1" applyBorder="1" applyAlignment="1">
      <alignment horizontal="center"/>
    </xf>
    <xf numFmtId="0" fontId="0" fillId="0" borderId="11" xfId="0" applyFill="1" applyBorder="1" applyAlignment="1">
      <alignment horizontal="center"/>
    </xf>
    <xf numFmtId="0" fontId="0" fillId="0" borderId="12" xfId="0" applyFill="1" applyBorder="1" applyAlignment="1">
      <alignment horizontal="center"/>
    </xf>
    <xf numFmtId="0" fontId="0" fillId="0" borderId="7" xfId="0" applyFill="1" applyBorder="1" applyAlignment="1">
      <alignment horizontal="center"/>
    </xf>
    <xf numFmtId="0" fontId="0" fillId="0" borderId="10" xfId="0" applyFill="1" applyBorder="1" applyAlignment="1">
      <alignment horizontal="center"/>
    </xf>
    <xf numFmtId="0" fontId="0" fillId="0" borderId="11" xfId="0" applyFill="1" applyBorder="1"/>
    <xf numFmtId="1" fontId="0" fillId="0" borderId="15" xfId="0" applyNumberFormat="1" applyFill="1" applyBorder="1" applyAlignment="1">
      <alignment horizontal="center"/>
    </xf>
    <xf numFmtId="1" fontId="0" fillId="0" borderId="15" xfId="0" applyNumberFormat="1" applyBorder="1"/>
    <xf numFmtId="165" fontId="2" fillId="0" borderId="0" xfId="0" applyNumberFormat="1" applyFont="1" applyFill="1" applyBorder="1" applyAlignment="1">
      <alignment horizontal="center"/>
    </xf>
    <xf numFmtId="0" fontId="6" fillId="0" borderId="15" xfId="0" applyFont="1" applyFill="1" applyBorder="1" applyAlignment="1">
      <alignment horizontal="center"/>
    </xf>
    <xf numFmtId="0" fontId="0" fillId="0" borderId="10" xfId="0" applyFill="1" applyBorder="1"/>
    <xf numFmtId="0" fontId="2" fillId="0" borderId="0" xfId="0" applyFont="1" applyBorder="1"/>
    <xf numFmtId="0" fontId="2" fillId="0" borderId="3" xfId="0" applyFont="1" applyBorder="1"/>
    <xf numFmtId="0" fontId="6" fillId="0" borderId="4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2" fillId="0" borderId="15" xfId="0" applyFont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0" fillId="2" borderId="15" xfId="0" applyFill="1" applyBorder="1"/>
    <xf numFmtId="0" fontId="6" fillId="0" borderId="3" xfId="0" applyFont="1" applyBorder="1" applyAlignment="1">
      <alignment horizontal="center"/>
    </xf>
    <xf numFmtId="0" fontId="0" fillId="0" borderId="1" xfId="0" applyBorder="1" applyAlignment="1">
      <alignment vertical="center" wrapText="1"/>
    </xf>
    <xf numFmtId="0" fontId="0" fillId="0" borderId="2" xfId="0" applyBorder="1" applyAlignment="1">
      <alignment vertical="center" wrapText="1"/>
    </xf>
    <xf numFmtId="0" fontId="0" fillId="0" borderId="3" xfId="0" applyBorder="1" applyAlignment="1">
      <alignment vertical="center" wrapText="1"/>
    </xf>
    <xf numFmtId="0" fontId="0" fillId="0" borderId="4" xfId="0" applyBorder="1" applyAlignment="1">
      <alignment vertical="center" wrapText="1"/>
    </xf>
    <xf numFmtId="0" fontId="2" fillId="0" borderId="1" xfId="0" applyFont="1" applyFill="1" applyBorder="1"/>
    <xf numFmtId="165" fontId="0" fillId="0" borderId="0" xfId="0" applyNumberFormat="1" applyAlignment="1">
      <alignment horizontal="center"/>
    </xf>
    <xf numFmtId="166" fontId="0" fillId="0" borderId="9" xfId="0" applyNumberFormat="1" applyBorder="1" applyAlignment="1">
      <alignment horizontal="center"/>
    </xf>
    <xf numFmtId="165" fontId="0" fillId="0" borderId="0" xfId="0" applyNumberFormat="1" applyBorder="1" applyAlignment="1">
      <alignment horizontal="center"/>
    </xf>
    <xf numFmtId="165" fontId="0" fillId="0" borderId="10" xfId="0" applyNumberFormat="1" applyBorder="1" applyAlignment="1">
      <alignment horizontal="center"/>
    </xf>
    <xf numFmtId="166" fontId="0" fillId="0" borderId="11" xfId="0" applyNumberFormat="1" applyBorder="1" applyAlignment="1">
      <alignment horizontal="center"/>
    </xf>
    <xf numFmtId="165" fontId="0" fillId="0" borderId="4" xfId="0" applyNumberFormat="1" applyBorder="1" applyAlignment="1">
      <alignment horizontal="center"/>
    </xf>
    <xf numFmtId="9" fontId="0" fillId="0" borderId="9" xfId="0" applyNumberFormat="1" applyBorder="1"/>
    <xf numFmtId="9" fontId="0" fillId="0" borderId="11" xfId="0" applyNumberFormat="1" applyBorder="1"/>
    <xf numFmtId="165" fontId="0" fillId="0" borderId="10" xfId="0" applyNumberFormat="1" applyFill="1" applyBorder="1" applyAlignment="1">
      <alignment horizontal="center"/>
    </xf>
    <xf numFmtId="1" fontId="0" fillId="0" borderId="10" xfId="0" applyNumberFormat="1" applyBorder="1" applyAlignment="1">
      <alignment horizontal="center"/>
    </xf>
    <xf numFmtId="167" fontId="0" fillId="0" borderId="15" xfId="0" applyNumberFormat="1" applyBorder="1" applyAlignment="1">
      <alignment horizontal="center"/>
    </xf>
    <xf numFmtId="9" fontId="0" fillId="0" borderId="15" xfId="0" applyNumberFormat="1" applyFill="1" applyBorder="1" applyAlignment="1">
      <alignment horizontal="center"/>
    </xf>
    <xf numFmtId="0" fontId="2" fillId="2" borderId="1" xfId="0" applyFont="1" applyFill="1" applyBorder="1" applyAlignment="1">
      <alignment horizontal="center" wrapText="1"/>
    </xf>
    <xf numFmtId="0" fontId="0" fillId="0" borderId="0" xfId="0" applyBorder="1" applyAlignment="1">
      <alignment vertical="center"/>
    </xf>
    <xf numFmtId="0" fontId="0" fillId="0" borderId="0" xfId="0" applyBorder="1" applyAlignment="1">
      <alignment vertical="center" wrapText="1"/>
    </xf>
    <xf numFmtId="0" fontId="6" fillId="0" borderId="3" xfId="0" applyFont="1" applyFill="1" applyBorder="1" applyAlignment="1">
      <alignment horizontal="center"/>
    </xf>
    <xf numFmtId="166" fontId="0" fillId="0" borderId="4" xfId="0" applyNumberFormat="1" applyBorder="1" applyAlignment="1">
      <alignment horizontal="center"/>
    </xf>
    <xf numFmtId="9" fontId="0" fillId="0" borderId="0" xfId="0" applyNumberFormat="1" applyBorder="1"/>
    <xf numFmtId="2" fontId="0" fillId="0" borderId="0" xfId="0" applyNumberFormat="1" applyBorder="1"/>
    <xf numFmtId="0" fontId="2" fillId="2" borderId="5" xfId="0" applyFont="1" applyFill="1" applyBorder="1"/>
    <xf numFmtId="167" fontId="0" fillId="0" borderId="15" xfId="0" applyNumberFormat="1" applyBorder="1"/>
    <xf numFmtId="1" fontId="0" fillId="0" borderId="7" xfId="0" applyNumberFormat="1" applyBorder="1"/>
    <xf numFmtId="0" fontId="0" fillId="0" borderId="2" xfId="0" applyBorder="1" applyAlignment="1">
      <alignment wrapText="1"/>
    </xf>
    <xf numFmtId="0" fontId="0" fillId="0" borderId="0" xfId="0" applyBorder="1" applyAlignment="1"/>
    <xf numFmtId="0" fontId="0" fillId="0" borderId="13" xfId="0" applyBorder="1" applyAlignment="1">
      <alignment wrapText="1"/>
    </xf>
    <xf numFmtId="0" fontId="0" fillId="0" borderId="13" xfId="0" applyFill="1" applyBorder="1" applyAlignment="1">
      <alignment wrapText="1"/>
    </xf>
    <xf numFmtId="0" fontId="0" fillId="0" borderId="7" xfId="0" applyFill="1" applyBorder="1"/>
    <xf numFmtId="0" fontId="0" fillId="0" borderId="8" xfId="0" applyFill="1" applyBorder="1"/>
    <xf numFmtId="0" fontId="2" fillId="0" borderId="12" xfId="0" applyFont="1" applyBorder="1" applyAlignment="1">
      <alignment horizontal="center"/>
    </xf>
    <xf numFmtId="0" fontId="2" fillId="0" borderId="10" xfId="0" applyFont="1" applyBorder="1" applyAlignment="1">
      <alignment horizontal="center"/>
    </xf>
    <xf numFmtId="0" fontId="0" fillId="0" borderId="9" xfId="0" applyFont="1" applyBorder="1"/>
    <xf numFmtId="165" fontId="0" fillId="0" borderId="7" xfId="0" applyNumberFormat="1" applyBorder="1" applyAlignment="1">
      <alignment horizontal="center"/>
    </xf>
    <xf numFmtId="2" fontId="0" fillId="0" borderId="1" xfId="0" applyNumberFormat="1" applyBorder="1"/>
    <xf numFmtId="166" fontId="0" fillId="0" borderId="0" xfId="2" applyNumberFormat="1" applyFont="1" applyAlignment="1">
      <alignment horizontal="center"/>
    </xf>
    <xf numFmtId="167" fontId="0" fillId="0" borderId="0" xfId="0" applyNumberFormat="1"/>
    <xf numFmtId="1" fontId="2" fillId="4" borderId="0" xfId="0" applyNumberFormat="1" applyFont="1" applyFill="1" applyAlignment="1">
      <alignment horizontal="center"/>
    </xf>
    <xf numFmtId="0" fontId="0" fillId="0" borderId="0" xfId="0" applyFill="1" applyAlignment="1">
      <alignment horizontal="center"/>
    </xf>
    <xf numFmtId="168" fontId="0" fillId="0" borderId="9" xfId="0" applyNumberFormat="1" applyBorder="1"/>
    <xf numFmtId="168" fontId="9" fillId="0" borderId="0" xfId="0" applyNumberFormat="1" applyFont="1"/>
    <xf numFmtId="0" fontId="0" fillId="0" borderId="3" xfId="0" applyFont="1" applyBorder="1" applyAlignment="1">
      <alignment vertical="center" wrapText="1"/>
    </xf>
    <xf numFmtId="0" fontId="6" fillId="0" borderId="0" xfId="0" applyFont="1" applyBorder="1"/>
    <xf numFmtId="0" fontId="6" fillId="0" borderId="10" xfId="0" applyFont="1" applyBorder="1" applyAlignment="1">
      <alignment horizontal="center"/>
    </xf>
    <xf numFmtId="167" fontId="0" fillId="0" borderId="0" xfId="0" applyNumberFormat="1" applyBorder="1"/>
    <xf numFmtId="167" fontId="0" fillId="0" borderId="10" xfId="0" applyNumberFormat="1" applyFont="1" applyBorder="1" applyAlignment="1">
      <alignment horizontal="center"/>
    </xf>
    <xf numFmtId="167" fontId="0" fillId="0" borderId="4" xfId="0" applyNumberFormat="1" applyFont="1" applyBorder="1" applyAlignment="1">
      <alignment horizontal="center"/>
    </xf>
    <xf numFmtId="0" fontId="6" fillId="0" borderId="9" xfId="0" applyFont="1" applyBorder="1" applyAlignment="1">
      <alignment horizontal="center"/>
    </xf>
    <xf numFmtId="167" fontId="0" fillId="0" borderId="9" xfId="0" applyNumberFormat="1" applyBorder="1" applyAlignment="1">
      <alignment horizontal="center"/>
    </xf>
    <xf numFmtId="0" fontId="0" fillId="0" borderId="8" xfId="0" applyFont="1" applyBorder="1" applyAlignment="1">
      <alignment horizontal="center"/>
    </xf>
    <xf numFmtId="167" fontId="2" fillId="0" borderId="9" xfId="0" applyNumberFormat="1" applyFont="1" applyBorder="1" applyAlignment="1">
      <alignment horizontal="center"/>
    </xf>
    <xf numFmtId="168" fontId="0" fillId="0" borderId="0" xfId="0" applyNumberFormat="1" applyBorder="1"/>
    <xf numFmtId="0" fontId="0" fillId="0" borderId="2" xfId="0" applyBorder="1"/>
    <xf numFmtId="166" fontId="0" fillId="0" borderId="0" xfId="0" applyNumberFormat="1" applyBorder="1" applyAlignment="1">
      <alignment horizontal="center"/>
    </xf>
    <xf numFmtId="9" fontId="0" fillId="0" borderId="10" xfId="0" applyNumberFormat="1" applyBorder="1" applyAlignment="1">
      <alignment horizontal="center"/>
    </xf>
    <xf numFmtId="9" fontId="0" fillId="0" borderId="0" xfId="0" applyNumberFormat="1" applyBorder="1" applyAlignment="1">
      <alignment horizontal="center"/>
    </xf>
    <xf numFmtId="9" fontId="0" fillId="0" borderId="4" xfId="0" applyNumberFormat="1" applyBorder="1" applyAlignment="1">
      <alignment horizontal="center"/>
    </xf>
    <xf numFmtId="166" fontId="0" fillId="0" borderId="12" xfId="0" applyNumberFormat="1" applyBorder="1" applyAlignment="1">
      <alignment horizontal="center"/>
    </xf>
    <xf numFmtId="167" fontId="0" fillId="0" borderId="0" xfId="0" applyNumberFormat="1" applyBorder="1" applyAlignment="1">
      <alignment horizontal="center"/>
    </xf>
    <xf numFmtId="0" fontId="6" fillId="0" borderId="15" xfId="0" applyFont="1" applyBorder="1" applyAlignment="1">
      <alignment horizontal="center"/>
    </xf>
    <xf numFmtId="167" fontId="0" fillId="0" borderId="10" xfId="0" applyNumberFormat="1" applyBorder="1" applyAlignment="1">
      <alignment horizontal="center"/>
    </xf>
    <xf numFmtId="0" fontId="0" fillId="0" borderId="6" xfId="0" applyFont="1" applyBorder="1"/>
    <xf numFmtId="0" fontId="0" fillId="0" borderId="1" xfId="0" applyBorder="1" applyAlignment="1">
      <alignment horizontal="right"/>
    </xf>
    <xf numFmtId="0" fontId="2" fillId="0" borderId="1" xfId="0" applyFont="1" applyBorder="1" applyAlignment="1">
      <alignment horizontal="center" wrapText="1"/>
    </xf>
    <xf numFmtId="0" fontId="2" fillId="0" borderId="1" xfId="0" applyFont="1" applyBorder="1" applyAlignment="1">
      <alignment wrapText="1"/>
    </xf>
    <xf numFmtId="0" fontId="0" fillId="0" borderId="1" xfId="0" applyFill="1" applyBorder="1" applyAlignment="1">
      <alignment vertical="center" wrapText="1"/>
    </xf>
    <xf numFmtId="0" fontId="0" fillId="0" borderId="14" xfId="0" applyFill="1" applyBorder="1" applyAlignment="1">
      <alignment vertical="center" wrapText="1"/>
    </xf>
    <xf numFmtId="0" fontId="0" fillId="0" borderId="13" xfId="0" applyFill="1" applyBorder="1" applyAlignment="1">
      <alignment horizontal="center" vertical="center" wrapText="1"/>
    </xf>
    <xf numFmtId="0" fontId="0" fillId="0" borderId="1" xfId="0" applyFill="1" applyBorder="1" applyAlignment="1">
      <alignment horizontal="center" vertical="center" wrapText="1"/>
    </xf>
    <xf numFmtId="0" fontId="6" fillId="0" borderId="0" xfId="0" applyFont="1" applyFill="1"/>
    <xf numFmtId="1" fontId="0" fillId="0" borderId="13" xfId="0" applyNumberFormat="1" applyBorder="1" applyAlignment="1">
      <alignment horizontal="center"/>
    </xf>
    <xf numFmtId="1" fontId="0" fillId="0" borderId="2" xfId="0" applyNumberFormat="1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6" fillId="0" borderId="13" xfId="0" applyFont="1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" xfId="0" applyBorder="1" applyAlignment="1">
      <alignment wrapText="1"/>
    </xf>
    <xf numFmtId="0" fontId="0" fillId="0" borderId="14" xfId="0" applyFill="1" applyBorder="1"/>
    <xf numFmtId="1" fontId="0" fillId="11" borderId="15" xfId="0" applyNumberFormat="1" applyFill="1" applyBorder="1" applyAlignment="1">
      <alignment horizontal="center"/>
    </xf>
    <xf numFmtId="1" fontId="0" fillId="11" borderId="0" xfId="0" applyNumberFormat="1" applyFill="1" applyBorder="1" applyAlignment="1">
      <alignment horizontal="center"/>
    </xf>
    <xf numFmtId="1" fontId="0" fillId="11" borderId="10" xfId="0" applyNumberFormat="1" applyFill="1" applyBorder="1" applyAlignment="1">
      <alignment horizontal="center"/>
    </xf>
    <xf numFmtId="0" fontId="0" fillId="0" borderId="3" xfId="0" applyFill="1" applyBorder="1" applyAlignment="1">
      <alignment vertical="center" wrapText="1"/>
    </xf>
    <xf numFmtId="0" fontId="0" fillId="0" borderId="13" xfId="0" applyBorder="1" applyAlignment="1">
      <alignment horizontal="center" vertical="center"/>
    </xf>
    <xf numFmtId="0" fontId="0" fillId="0" borderId="0" xfId="0" applyFill="1" applyAlignment="1"/>
    <xf numFmtId="0" fontId="2" fillId="0" borderId="1" xfId="0" applyFont="1" applyBorder="1"/>
    <xf numFmtId="0" fontId="2" fillId="0" borderId="5" xfId="0" applyFont="1" applyBorder="1"/>
    <xf numFmtId="2" fontId="0" fillId="0" borderId="4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horizontal="center" vertical="center" wrapText="1"/>
    </xf>
    <xf numFmtId="0" fontId="0" fillId="0" borderId="0" xfId="0" applyAlignment="1">
      <alignment horizontal="center"/>
    </xf>
    <xf numFmtId="0" fontId="0" fillId="0" borderId="14" xfId="0" applyBorder="1" applyAlignment="1">
      <alignment horizontal="center"/>
    </xf>
    <xf numFmtId="0" fontId="0" fillId="0" borderId="0" xfId="0" applyAlignment="1">
      <alignment vertical="center"/>
    </xf>
    <xf numFmtId="0" fontId="2" fillId="0" borderId="3" xfId="0" applyFont="1" applyBorder="1" applyAlignment="1">
      <alignment vertical="center" wrapText="1"/>
    </xf>
    <xf numFmtId="0" fontId="0" fillId="0" borderId="5" xfId="0" applyBorder="1" applyAlignment="1">
      <alignment horizontal="center" vertical="center" wrapText="1"/>
    </xf>
    <xf numFmtId="0" fontId="2" fillId="0" borderId="11" xfId="0" applyFont="1" applyBorder="1" applyAlignment="1">
      <alignment vertical="center" wrapText="1"/>
    </xf>
    <xf numFmtId="0" fontId="0" fillId="0" borderId="1" xfId="0" applyBorder="1" applyAlignment="1">
      <alignment horizontal="center" vertical="center" wrapText="1"/>
    </xf>
    <xf numFmtId="168" fontId="0" fillId="2" borderId="1" xfId="0" applyNumberFormat="1" applyFill="1" applyBorder="1"/>
    <xf numFmtId="166" fontId="0" fillId="0" borderId="5" xfId="0" applyNumberFormat="1" applyFill="1" applyBorder="1"/>
    <xf numFmtId="0" fontId="6" fillId="0" borderId="14" xfId="0" applyFont="1" applyBorder="1"/>
    <xf numFmtId="0" fontId="14" fillId="0" borderId="0" xfId="0" applyFont="1" applyAlignment="1">
      <alignment horizontal="left" vertical="center" indent="4"/>
    </xf>
    <xf numFmtId="0" fontId="2" fillId="0" borderId="9" xfId="0" applyFont="1" applyBorder="1" applyAlignment="1">
      <alignment vertical="center" wrapText="1"/>
    </xf>
    <xf numFmtId="0" fontId="0" fillId="0" borderId="1" xfId="0" applyFill="1" applyBorder="1"/>
    <xf numFmtId="0" fontId="0" fillId="0" borderId="1" xfId="0" applyFont="1" applyFill="1" applyBorder="1" applyAlignment="1">
      <alignment vertical="center" wrapText="1"/>
    </xf>
    <xf numFmtId="0" fontId="0" fillId="0" borderId="3" xfId="0" applyFont="1" applyFill="1" applyBorder="1" applyAlignment="1">
      <alignment vertical="center" wrapText="1"/>
    </xf>
    <xf numFmtId="0" fontId="0" fillId="0" borderId="14" xfId="0" applyBorder="1" applyAlignment="1">
      <alignment vertical="center"/>
    </xf>
    <xf numFmtId="0" fontId="15" fillId="2" borderId="1" xfId="0" applyFont="1" applyFill="1" applyBorder="1" applyAlignment="1">
      <alignment vertical="center"/>
    </xf>
    <xf numFmtId="0" fontId="16" fillId="0" borderId="0" xfId="0" applyFont="1" applyAlignment="1">
      <alignment horizontal="left" vertical="center"/>
    </xf>
    <xf numFmtId="0" fontId="4" fillId="0" borderId="0" xfId="0" applyFont="1" applyAlignment="1">
      <alignment horizontal="left"/>
    </xf>
    <xf numFmtId="0" fontId="16" fillId="0" borderId="6" xfId="0" applyFont="1" applyBorder="1" applyAlignment="1">
      <alignment horizontal="left" vertical="center"/>
    </xf>
    <xf numFmtId="0" fontId="16" fillId="0" borderId="9" xfId="0" applyFont="1" applyBorder="1" applyAlignment="1">
      <alignment horizontal="left" vertical="center"/>
    </xf>
    <xf numFmtId="0" fontId="16" fillId="0" borderId="11" xfId="0" applyFont="1" applyBorder="1" applyAlignment="1">
      <alignment horizontal="left" vertical="center"/>
    </xf>
    <xf numFmtId="0" fontId="4" fillId="0" borderId="9" xfId="0" applyFont="1" applyBorder="1" applyAlignment="1">
      <alignment horizontal="center"/>
    </xf>
    <xf numFmtId="0" fontId="4" fillId="0" borderId="10" xfId="0" applyFont="1" applyBorder="1" applyAlignment="1">
      <alignment horizontal="center"/>
    </xf>
    <xf numFmtId="0" fontId="4" fillId="0" borderId="8" xfId="0" applyFont="1" applyBorder="1" applyAlignment="1">
      <alignment horizontal="center"/>
    </xf>
    <xf numFmtId="0" fontId="4" fillId="0" borderId="7" xfId="0" applyFont="1" applyBorder="1" applyAlignment="1">
      <alignment horizontal="center"/>
    </xf>
    <xf numFmtId="2" fontId="4" fillId="0" borderId="9" xfId="0" applyNumberFormat="1" applyFont="1" applyBorder="1" applyAlignment="1">
      <alignment horizontal="center"/>
    </xf>
    <xf numFmtId="2" fontId="4" fillId="0" borderId="11" xfId="0" applyNumberFormat="1" applyFont="1" applyBorder="1" applyAlignment="1">
      <alignment horizontal="center"/>
    </xf>
    <xf numFmtId="0" fontId="4" fillId="0" borderId="4" xfId="0" applyFont="1" applyBorder="1" applyAlignment="1">
      <alignment horizontal="center"/>
    </xf>
    <xf numFmtId="0" fontId="4" fillId="0" borderId="11" xfId="0" applyFont="1" applyBorder="1" applyAlignment="1">
      <alignment horizontal="center"/>
    </xf>
    <xf numFmtId="0" fontId="0" fillId="0" borderId="15" xfId="0" applyBorder="1" applyAlignment="1">
      <alignment horizontal="center" vertical="center" textRotation="90" wrapText="1"/>
    </xf>
    <xf numFmtId="165" fontId="4" fillId="0" borderId="9" xfId="0" applyNumberFormat="1" applyFont="1" applyBorder="1" applyAlignment="1">
      <alignment horizontal="center"/>
    </xf>
    <xf numFmtId="1" fontId="4" fillId="0" borderId="9" xfId="0" applyNumberFormat="1" applyFont="1" applyBorder="1" applyAlignment="1">
      <alignment horizontal="center"/>
    </xf>
    <xf numFmtId="165" fontId="4" fillId="0" borderId="6" xfId="0" applyNumberFormat="1" applyFont="1" applyBorder="1" applyAlignment="1">
      <alignment horizontal="center"/>
    </xf>
    <xf numFmtId="165" fontId="4" fillId="0" borderId="0" xfId="0" applyNumberFormat="1" applyFont="1" applyBorder="1" applyAlignment="1">
      <alignment horizontal="center"/>
    </xf>
    <xf numFmtId="165" fontId="4" fillId="0" borderId="11" xfId="0" applyNumberFormat="1" applyFont="1" applyBorder="1" applyAlignment="1">
      <alignment horizontal="center"/>
    </xf>
    <xf numFmtId="0" fontId="4" fillId="0" borderId="1" xfId="0" applyFont="1" applyBorder="1" applyAlignment="1">
      <alignment horizontal="center"/>
    </xf>
    <xf numFmtId="1" fontId="4" fillId="0" borderId="10" xfId="0" applyNumberFormat="1" applyFont="1" applyBorder="1" applyAlignment="1">
      <alignment horizontal="center"/>
    </xf>
    <xf numFmtId="1" fontId="4" fillId="0" borderId="14" xfId="0" applyNumberFormat="1" applyFont="1" applyBorder="1" applyAlignment="1">
      <alignment horizontal="center"/>
    </xf>
    <xf numFmtId="1" fontId="4" fillId="0" borderId="2" xfId="0" applyNumberFormat="1" applyFont="1" applyBorder="1" applyAlignment="1">
      <alignment horizontal="center"/>
    </xf>
    <xf numFmtId="2" fontId="4" fillId="0" borderId="0" xfId="0" applyNumberFormat="1" applyFont="1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0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1" xfId="0" applyFont="1" applyFill="1" applyBorder="1" applyAlignment="1">
      <alignment horizontal="center" vertical="center" wrapText="1"/>
    </xf>
    <xf numFmtId="0" fontId="2" fillId="12" borderId="3" xfId="0" applyFont="1" applyFill="1" applyBorder="1" applyAlignment="1">
      <alignment vertical="center" wrapText="1"/>
    </xf>
    <xf numFmtId="0" fontId="2" fillId="12" borderId="11" xfId="0" applyFont="1" applyFill="1" applyBorder="1" applyAlignment="1">
      <alignment vertical="center" wrapText="1"/>
    </xf>
    <xf numFmtId="0" fontId="2" fillId="12" borderId="5" xfId="0" applyFont="1" applyFill="1" applyBorder="1" applyAlignment="1">
      <alignment vertical="center" wrapText="1"/>
    </xf>
    <xf numFmtId="0" fontId="15" fillId="12" borderId="3" xfId="0" applyFont="1" applyFill="1" applyBorder="1" applyAlignment="1">
      <alignment vertical="center"/>
    </xf>
    <xf numFmtId="0" fontId="15" fillId="12" borderId="1" xfId="0" applyFont="1" applyFill="1" applyBorder="1" applyAlignment="1">
      <alignment vertical="center"/>
    </xf>
    <xf numFmtId="167" fontId="0" fillId="0" borderId="10" xfId="0" applyNumberFormat="1" applyBorder="1"/>
    <xf numFmtId="167" fontId="0" fillId="0" borderId="1" xfId="0" applyNumberFormat="1" applyBorder="1"/>
    <xf numFmtId="2" fontId="0" fillId="0" borderId="1" xfId="0" applyNumberFormat="1" applyBorder="1" applyAlignment="1"/>
    <xf numFmtId="168" fontId="0" fillId="0" borderId="1" xfId="0" applyNumberFormat="1" applyBorder="1"/>
    <xf numFmtId="0" fontId="0" fillId="0" borderId="0" xfId="0" applyBorder="1" applyAlignment="1">
      <alignment horizontal="center" vertical="center" textRotation="90" wrapText="1"/>
    </xf>
    <xf numFmtId="0" fontId="16" fillId="0" borderId="0" xfId="0" applyFont="1" applyBorder="1" applyAlignment="1">
      <alignment horizontal="left" vertical="center"/>
    </xf>
    <xf numFmtId="2" fontId="4" fillId="0" borderId="10" xfId="0" applyNumberFormat="1" applyFont="1" applyBorder="1" applyAlignment="1">
      <alignment horizontal="center"/>
    </xf>
    <xf numFmtId="2" fontId="4" fillId="0" borderId="4" xfId="0" applyNumberFormat="1" applyFont="1" applyBorder="1" applyAlignment="1">
      <alignment horizontal="center"/>
    </xf>
    <xf numFmtId="2" fontId="4" fillId="0" borderId="12" xfId="0" applyNumberFormat="1" applyFont="1" applyBorder="1" applyAlignment="1">
      <alignment horizontal="center"/>
    </xf>
    <xf numFmtId="2" fontId="4" fillId="0" borderId="7" xfId="0" applyNumberFormat="1" applyFont="1" applyBorder="1" applyAlignment="1">
      <alignment horizontal="center"/>
    </xf>
    <xf numFmtId="1" fontId="4" fillId="0" borderId="13" xfId="0" applyNumberFormat="1" applyFont="1" applyBorder="1" applyAlignment="1">
      <alignment horizontal="center"/>
    </xf>
    <xf numFmtId="167" fontId="0" fillId="0" borderId="3" xfId="0" applyNumberFormat="1" applyBorder="1" applyAlignment="1">
      <alignment horizontal="center"/>
    </xf>
    <xf numFmtId="10" fontId="0" fillId="0" borderId="0" xfId="2" applyNumberFormat="1" applyFont="1" applyFill="1"/>
    <xf numFmtId="9" fontId="4" fillId="0" borderId="0" xfId="0" applyNumberFormat="1" applyFont="1" applyAlignment="1">
      <alignment horizontal="left"/>
    </xf>
    <xf numFmtId="0" fontId="0" fillId="0" borderId="13" xfId="0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6" fillId="0" borderId="0" xfId="0" applyFont="1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165" fontId="4" fillId="0" borderId="7" xfId="0" applyNumberFormat="1" applyFont="1" applyBorder="1" applyAlignment="1">
      <alignment horizontal="center"/>
    </xf>
    <xf numFmtId="165" fontId="4" fillId="0" borderId="8" xfId="0" applyNumberFormat="1" applyFont="1" applyBorder="1" applyAlignment="1">
      <alignment horizontal="center"/>
    </xf>
    <xf numFmtId="165" fontId="4" fillId="0" borderId="10" xfId="0" applyNumberFormat="1" applyFont="1" applyBorder="1" applyAlignment="1">
      <alignment horizontal="center"/>
    </xf>
    <xf numFmtId="165" fontId="0" fillId="0" borderId="9" xfId="0" applyNumberFormat="1" applyBorder="1" applyAlignment="1">
      <alignment horizontal="center"/>
    </xf>
    <xf numFmtId="165" fontId="0" fillId="0" borderId="11" xfId="0" applyNumberFormat="1" applyBorder="1" applyAlignment="1">
      <alignment horizontal="center"/>
    </xf>
    <xf numFmtId="0" fontId="8" fillId="2" borderId="1" xfId="0" applyFont="1" applyFill="1" applyBorder="1" applyAlignment="1">
      <alignment horizontal="left"/>
    </xf>
    <xf numFmtId="165" fontId="4" fillId="0" borderId="12" xfId="0" applyNumberFormat="1" applyFont="1" applyBorder="1" applyAlignment="1">
      <alignment horizontal="center"/>
    </xf>
    <xf numFmtId="165" fontId="4" fillId="0" borderId="5" xfId="0" applyNumberFormat="1" applyFont="1" applyBorder="1" applyAlignment="1">
      <alignment horizontal="center"/>
    </xf>
    <xf numFmtId="165" fontId="4" fillId="0" borderId="15" xfId="0" applyNumberFormat="1" applyFont="1" applyBorder="1" applyAlignment="1">
      <alignment horizontal="center"/>
    </xf>
    <xf numFmtId="165" fontId="4" fillId="0" borderId="3" xfId="0" applyNumberFormat="1" applyFont="1" applyBorder="1" applyAlignment="1">
      <alignment horizontal="center"/>
    </xf>
    <xf numFmtId="2" fontId="4" fillId="0" borderId="5" xfId="0" applyNumberFormat="1" applyFont="1" applyFill="1" applyBorder="1" applyAlignment="1">
      <alignment horizontal="center"/>
    </xf>
    <xf numFmtId="2" fontId="4" fillId="0" borderId="15" xfId="0" applyNumberFormat="1" applyFont="1" applyFill="1" applyBorder="1" applyAlignment="1">
      <alignment horizontal="center"/>
    </xf>
    <xf numFmtId="2" fontId="4" fillId="0" borderId="3" xfId="0" applyNumberFormat="1" applyFont="1" applyFill="1" applyBorder="1" applyAlignment="1">
      <alignment horizontal="center"/>
    </xf>
    <xf numFmtId="0" fontId="16" fillId="0" borderId="8" xfId="0" applyFont="1" applyBorder="1" applyAlignment="1">
      <alignment horizontal="left" vertical="center"/>
    </xf>
    <xf numFmtId="0" fontId="16" fillId="0" borderId="10" xfId="0" applyFont="1" applyBorder="1" applyAlignment="1">
      <alignment horizontal="left" vertical="center"/>
    </xf>
    <xf numFmtId="0" fontId="16" fillId="0" borderId="4" xfId="0" applyFont="1" applyBorder="1" applyAlignment="1">
      <alignment horizontal="left" vertical="center"/>
    </xf>
    <xf numFmtId="0" fontId="6" fillId="0" borderId="15" xfId="0" applyFont="1" applyBorder="1"/>
    <xf numFmtId="0" fontId="6" fillId="0" borderId="3" xfId="0" applyFont="1" applyBorder="1"/>
    <xf numFmtId="0" fontId="0" fillId="0" borderId="3" xfId="0" applyFont="1" applyBorder="1"/>
    <xf numFmtId="0" fontId="0" fillId="4" borderId="15" xfId="0" applyFill="1" applyBorder="1"/>
    <xf numFmtId="0" fontId="0" fillId="4" borderId="10" xfId="0" applyFill="1" applyBorder="1"/>
    <xf numFmtId="0" fontId="2" fillId="2" borderId="13" xfId="0" applyFont="1" applyFill="1" applyBorder="1" applyAlignment="1">
      <alignment horizontal="center" vertical="center" wrapText="1"/>
    </xf>
    <xf numFmtId="0" fontId="0" fillId="0" borderId="12" xfId="0" applyBorder="1" applyAlignment="1">
      <alignment horizontal="center" vertical="center" wrapText="1"/>
    </xf>
    <xf numFmtId="9" fontId="0" fillId="0" borderId="12" xfId="0" applyNumberFormat="1" applyBorder="1" applyAlignment="1">
      <alignment horizontal="center" vertical="center" wrapText="1"/>
    </xf>
    <xf numFmtId="0" fontId="0" fillId="0" borderId="0" xfId="0" quotePrefix="1" applyBorder="1" applyAlignment="1">
      <alignment vertical="center"/>
    </xf>
    <xf numFmtId="0" fontId="0" fillId="0" borderId="13" xfId="0" applyBorder="1" applyAlignment="1">
      <alignment horizontal="center" vertical="center" wrapText="1"/>
    </xf>
    <xf numFmtId="0" fontId="0" fillId="0" borderId="3" xfId="0" applyFill="1" applyBorder="1" applyAlignment="1">
      <alignment horizontal="center" vertical="center" wrapText="1"/>
    </xf>
    <xf numFmtId="9" fontId="0" fillId="0" borderId="3" xfId="0" applyNumberFormat="1" applyBorder="1" applyAlignment="1">
      <alignment horizontal="center" vertical="center" wrapText="1"/>
    </xf>
    <xf numFmtId="0" fontId="2" fillId="2" borderId="1" xfId="0" applyFont="1" applyFill="1" applyBorder="1" applyAlignment="1">
      <alignment vertical="center" wrapText="1"/>
    </xf>
    <xf numFmtId="165" fontId="6" fillId="0" borderId="9" xfId="0" applyNumberFormat="1" applyFont="1" applyBorder="1" applyAlignment="1">
      <alignment horizontal="center"/>
    </xf>
    <xf numFmtId="165" fontId="6" fillId="0" borderId="6" xfId="0" applyNumberFormat="1" applyFont="1" applyBorder="1" applyAlignment="1">
      <alignment horizontal="center"/>
    </xf>
    <xf numFmtId="167" fontId="0" fillId="0" borderId="8" xfId="0" applyNumberFormat="1" applyFont="1" applyBorder="1" applyAlignment="1">
      <alignment horizontal="center"/>
    </xf>
    <xf numFmtId="1" fontId="6" fillId="0" borderId="5" xfId="0" applyNumberFormat="1" applyFont="1" applyBorder="1" applyAlignment="1">
      <alignment horizontal="center"/>
    </xf>
    <xf numFmtId="1" fontId="6" fillId="0" borderId="15" xfId="0" applyNumberFormat="1" applyFont="1" applyBorder="1" applyAlignment="1">
      <alignment horizontal="center"/>
    </xf>
    <xf numFmtId="1" fontId="5" fillId="0" borderId="15" xfId="0" applyNumberFormat="1" applyFont="1" applyBorder="1" applyAlignment="1">
      <alignment horizontal="center"/>
    </xf>
    <xf numFmtId="1" fontId="5" fillId="0" borderId="3" xfId="0" applyNumberFormat="1" applyFont="1" applyBorder="1" applyAlignment="1">
      <alignment horizontal="center"/>
    </xf>
    <xf numFmtId="1" fontId="0" fillId="0" borderId="15" xfId="0" applyNumberFormat="1" applyFont="1" applyFill="1" applyBorder="1" applyAlignment="1">
      <alignment horizontal="center"/>
    </xf>
    <xf numFmtId="165" fontId="5" fillId="0" borderId="9" xfId="0" applyNumberFormat="1" applyFont="1" applyBorder="1" applyAlignment="1">
      <alignment horizontal="center"/>
    </xf>
    <xf numFmtId="165" fontId="5" fillId="0" borderId="11" xfId="0" applyNumberFormat="1" applyFont="1" applyBorder="1" applyAlignment="1">
      <alignment horizontal="center"/>
    </xf>
    <xf numFmtId="1" fontId="4" fillId="0" borderId="0" xfId="0" applyNumberFormat="1" applyFont="1" applyFill="1" applyBorder="1" applyAlignment="1">
      <alignment horizontal="center"/>
    </xf>
    <xf numFmtId="1" fontId="2" fillId="0" borderId="9" xfId="0" applyNumberFormat="1" applyFont="1" applyBorder="1" applyAlignment="1">
      <alignment horizontal="center"/>
    </xf>
    <xf numFmtId="1" fontId="2" fillId="0" borderId="0" xfId="0" applyNumberFormat="1" applyFont="1" applyAlignment="1">
      <alignment horizontal="center"/>
    </xf>
    <xf numFmtId="167" fontId="0" fillId="0" borderId="0" xfId="0" applyNumberForma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0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2" fillId="0" borderId="14" xfId="0" applyFont="1" applyBorder="1" applyAlignment="1">
      <alignment wrapText="1"/>
    </xf>
    <xf numFmtId="0" fontId="2" fillId="0" borderId="13" xfId="0" applyFont="1" applyBorder="1" applyAlignment="1">
      <alignment wrapText="1"/>
    </xf>
    <xf numFmtId="0" fontId="2" fillId="0" borderId="2" xfId="0" applyFont="1" applyBorder="1" applyAlignment="1">
      <alignment wrapText="1"/>
    </xf>
    <xf numFmtId="1" fontId="1" fillId="0" borderId="9" xfId="2" applyNumberFormat="1" applyFont="1" applyBorder="1" applyAlignment="1">
      <alignment horizontal="center"/>
    </xf>
    <xf numFmtId="1" fontId="0" fillId="0" borderId="6" xfId="2" applyNumberFormat="1" applyFont="1" applyBorder="1"/>
    <xf numFmtId="1" fontId="0" fillId="0" borderId="9" xfId="2" applyNumberFormat="1" applyFont="1" applyBorder="1"/>
    <xf numFmtId="1" fontId="2" fillId="0" borderId="9" xfId="2" applyNumberFormat="1" applyFont="1" applyBorder="1" applyAlignment="1">
      <alignment horizontal="center"/>
    </xf>
    <xf numFmtId="0" fontId="6" fillId="0" borderId="7" xfId="0" applyFont="1" applyBorder="1" applyAlignment="1">
      <alignment horizontal="center"/>
    </xf>
    <xf numFmtId="9" fontId="0" fillId="0" borderId="9" xfId="2" applyFont="1" applyBorder="1" applyAlignment="1">
      <alignment horizontal="center"/>
    </xf>
    <xf numFmtId="9" fontId="0" fillId="0" borderId="5" xfId="2" applyFont="1" applyBorder="1" applyAlignment="1">
      <alignment horizontal="center"/>
    </xf>
    <xf numFmtId="9" fontId="0" fillId="0" borderId="15" xfId="2" applyFont="1" applyBorder="1" applyAlignment="1">
      <alignment horizontal="center"/>
    </xf>
    <xf numFmtId="9" fontId="0" fillId="0" borderId="3" xfId="2" applyFont="1" applyBorder="1" applyAlignment="1">
      <alignment horizontal="center"/>
    </xf>
    <xf numFmtId="0" fontId="8" fillId="0" borderId="14" xfId="0" applyFont="1" applyBorder="1" applyAlignment="1"/>
    <xf numFmtId="167" fontId="2" fillId="0" borderId="6" xfId="0" applyNumberFormat="1" applyFont="1" applyBorder="1" applyAlignment="1">
      <alignment horizontal="center"/>
    </xf>
    <xf numFmtId="1" fontId="10" fillId="0" borderId="5" xfId="0" applyNumberFormat="1" applyFont="1" applyBorder="1" applyAlignment="1">
      <alignment horizontal="center"/>
    </xf>
    <xf numFmtId="1" fontId="10" fillId="0" borderId="15" xfId="0" applyNumberFormat="1" applyFont="1" applyBorder="1" applyAlignment="1">
      <alignment horizontal="center"/>
    </xf>
    <xf numFmtId="1" fontId="17" fillId="0" borderId="15" xfId="0" applyNumberFormat="1" applyFont="1" applyBorder="1" applyAlignment="1">
      <alignment horizontal="center"/>
    </xf>
    <xf numFmtId="166" fontId="0" fillId="0" borderId="13" xfId="0" applyNumberFormat="1" applyBorder="1" applyAlignment="1">
      <alignment horizontal="center"/>
    </xf>
    <xf numFmtId="9" fontId="0" fillId="0" borderId="2" xfId="2" applyFont="1" applyBorder="1" applyAlignment="1">
      <alignment horizontal="center"/>
    </xf>
    <xf numFmtId="1" fontId="0" fillId="0" borderId="3" xfId="0" applyNumberFormat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 wrapText="1"/>
    </xf>
    <xf numFmtId="0" fontId="16" fillId="0" borderId="5" xfId="0" applyFont="1" applyBorder="1" applyAlignment="1">
      <alignment horizontal="left" vertical="center"/>
    </xf>
    <xf numFmtId="0" fontId="16" fillId="0" borderId="15" xfId="0" applyFont="1" applyBorder="1" applyAlignment="1">
      <alignment horizontal="left" vertical="center"/>
    </xf>
    <xf numFmtId="0" fontId="16" fillId="0" borderId="3" xfId="0" applyFont="1" applyBorder="1" applyAlignment="1">
      <alignment horizontal="left" vertical="center"/>
    </xf>
    <xf numFmtId="0" fontId="2" fillId="0" borderId="0" xfId="0" applyFont="1" applyBorder="1" applyAlignment="1">
      <alignment vertical="center" textRotation="90"/>
    </xf>
    <xf numFmtId="0" fontId="2" fillId="0" borderId="0" xfId="0" applyFont="1" applyFill="1" applyBorder="1" applyAlignment="1">
      <alignment vertical="center" textRotation="90"/>
    </xf>
    <xf numFmtId="0" fontId="6" fillId="0" borderId="5" xfId="0" applyFont="1" applyBorder="1"/>
    <xf numFmtId="166" fontId="0" fillId="0" borderId="1" xfId="2" applyNumberFormat="1" applyFont="1" applyFill="1" applyBorder="1" applyAlignment="1">
      <alignment horizontal="center" vertical="center" wrapText="1"/>
    </xf>
    <xf numFmtId="9" fontId="0" fillId="0" borderId="5" xfId="0" applyNumberFormat="1" applyBorder="1"/>
    <xf numFmtId="0" fontId="0" fillId="0" borderId="3" xfId="0" applyFill="1" applyBorder="1"/>
    <xf numFmtId="0" fontId="2" fillId="0" borderId="0" xfId="0" applyFont="1" applyBorder="1" applyAlignment="1">
      <alignment horizontal="center" vertical="center" textRotation="90"/>
    </xf>
    <xf numFmtId="165" fontId="16" fillId="0" borderId="5" xfId="0" applyNumberFormat="1" applyFont="1" applyFill="1" applyBorder="1" applyAlignment="1">
      <alignment horizontal="center" vertical="center"/>
    </xf>
    <xf numFmtId="2" fontId="16" fillId="0" borderId="15" xfId="0" applyNumberFormat="1" applyFont="1" applyFill="1" applyBorder="1" applyAlignment="1">
      <alignment horizontal="center" vertical="center"/>
    </xf>
    <xf numFmtId="2" fontId="16" fillId="0" borderId="3" xfId="0" applyNumberFormat="1" applyFont="1" applyFill="1" applyBorder="1" applyAlignment="1">
      <alignment horizontal="center" vertical="center"/>
    </xf>
    <xf numFmtId="165" fontId="0" fillId="0" borderId="5" xfId="0" applyNumberFormat="1" applyFill="1" applyBorder="1" applyAlignment="1">
      <alignment horizontal="center"/>
    </xf>
    <xf numFmtId="0" fontId="4" fillId="0" borderId="3" xfId="0" applyFont="1" applyBorder="1" applyAlignment="1">
      <alignment vertical="center" wrapText="1"/>
    </xf>
    <xf numFmtId="0" fontId="16" fillId="0" borderId="1" xfId="0" applyFont="1" applyBorder="1" applyAlignment="1">
      <alignment horizontal="center" vertical="center"/>
    </xf>
    <xf numFmtId="0" fontId="18" fillId="10" borderId="0" xfId="0" applyFont="1" applyFill="1" applyBorder="1"/>
    <xf numFmtId="0" fontId="6" fillId="0" borderId="5" xfId="0" applyFont="1" applyBorder="1" applyAlignment="1">
      <alignment horizontal="center"/>
    </xf>
    <xf numFmtId="0" fontId="0" fillId="0" borderId="0" xfId="0" applyFill="1" applyAlignment="1">
      <alignment vertical="center"/>
    </xf>
    <xf numFmtId="0" fontId="0" fillId="0" borderId="1" xfId="0" applyFont="1" applyBorder="1"/>
    <xf numFmtId="0" fontId="0" fillId="0" borderId="6" xfId="0" applyBorder="1" applyAlignment="1"/>
    <xf numFmtId="0" fontId="0" fillId="0" borderId="8" xfId="0" applyBorder="1" applyAlignment="1"/>
    <xf numFmtId="0" fontId="0" fillId="0" borderId="9" xfId="0" applyBorder="1" applyAlignment="1"/>
    <xf numFmtId="0" fontId="0" fillId="0" borderId="10" xfId="0" applyBorder="1" applyAlignment="1"/>
    <xf numFmtId="0" fontId="0" fillId="0" borderId="11" xfId="0" applyBorder="1" applyAlignment="1"/>
    <xf numFmtId="0" fontId="0" fillId="0" borderId="4" xfId="0" applyBorder="1" applyAlignment="1"/>
    <xf numFmtId="0" fontId="6" fillId="0" borderId="1" xfId="0" applyFont="1" applyFill="1" applyBorder="1"/>
    <xf numFmtId="0" fontId="0" fillId="0" borderId="2" xfId="0" applyBorder="1" applyAlignment="1">
      <alignment horizontal="center"/>
    </xf>
    <xf numFmtId="0" fontId="0" fillId="0" borderId="0" xfId="0" applyAlignment="1">
      <alignment horizontal="center"/>
    </xf>
    <xf numFmtId="9" fontId="0" fillId="0" borderId="10" xfId="2" applyFont="1" applyBorder="1" applyAlignment="1">
      <alignment horizontal="center"/>
    </xf>
    <xf numFmtId="167" fontId="0" fillId="0" borderId="1" xfId="0" applyNumberFormat="1" applyBorder="1" applyAlignment="1">
      <alignment horizontal="center"/>
    </xf>
    <xf numFmtId="9" fontId="0" fillId="0" borderId="2" xfId="0" applyNumberFormat="1" applyBorder="1" applyAlignment="1">
      <alignment horizontal="center"/>
    </xf>
    <xf numFmtId="9" fontId="0" fillId="0" borderId="1" xfId="2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4" fillId="0" borderId="14" xfId="0" applyFont="1" applyBorder="1" applyAlignment="1">
      <alignment horizontal="center"/>
    </xf>
    <xf numFmtId="165" fontId="2" fillId="0" borderId="3" xfId="0" applyNumberFormat="1" applyFont="1" applyBorder="1" applyAlignment="1">
      <alignment horizontal="center"/>
    </xf>
    <xf numFmtId="2" fontId="2" fillId="0" borderId="3" xfId="0" applyNumberFormat="1" applyFont="1" applyBorder="1" applyAlignment="1">
      <alignment horizontal="center"/>
    </xf>
    <xf numFmtId="2" fontId="2" fillId="0" borderId="12" xfId="0" applyNumberFormat="1" applyFont="1" applyBorder="1" applyAlignment="1">
      <alignment horizontal="center"/>
    </xf>
    <xf numFmtId="0" fontId="19" fillId="0" borderId="14" xfId="0" applyFont="1" applyBorder="1"/>
    <xf numFmtId="0" fontId="19" fillId="0" borderId="13" xfId="0" applyFont="1" applyBorder="1"/>
    <xf numFmtId="0" fontId="19" fillId="0" borderId="2" xfId="0" applyFont="1" applyBorder="1"/>
    <xf numFmtId="1" fontId="4" fillId="0" borderId="8" xfId="0" applyNumberFormat="1" applyFont="1" applyBorder="1" applyAlignment="1">
      <alignment horizontal="center"/>
    </xf>
    <xf numFmtId="0" fontId="4" fillId="0" borderId="6" xfId="0" applyFont="1" applyBorder="1" applyAlignment="1">
      <alignment horizontal="center"/>
    </xf>
    <xf numFmtId="165" fontId="4" fillId="0" borderId="4" xfId="0" applyNumberFormat="1" applyFont="1" applyBorder="1" applyAlignment="1">
      <alignment horizontal="center"/>
    </xf>
    <xf numFmtId="0" fontId="0" fillId="0" borderId="9" xfId="0" applyFill="1" applyBorder="1"/>
    <xf numFmtId="9" fontId="0" fillId="0" borderId="0" xfId="2" applyFont="1"/>
    <xf numFmtId="0" fontId="0" fillId="9" borderId="0" xfId="0" applyFill="1"/>
    <xf numFmtId="2" fontId="0" fillId="9" borderId="5" xfId="0" applyNumberFormat="1" applyFill="1" applyBorder="1" applyAlignment="1">
      <alignment horizontal="center"/>
    </xf>
    <xf numFmtId="2" fontId="0" fillId="9" borderId="15" xfId="0" applyNumberFormat="1" applyFill="1" applyBorder="1" applyAlignment="1">
      <alignment horizontal="center"/>
    </xf>
    <xf numFmtId="1" fontId="0" fillId="0" borderId="0" xfId="2" applyNumberFormat="1" applyFont="1" applyFill="1"/>
    <xf numFmtId="0" fontId="0" fillId="0" borderId="13" xfId="0" applyFill="1" applyBorder="1" applyAlignment="1">
      <alignment horizontal="center"/>
    </xf>
    <xf numFmtId="9" fontId="0" fillId="0" borderId="9" xfId="0" applyNumberFormat="1" applyFill="1" applyBorder="1" applyAlignment="1">
      <alignment horizontal="center"/>
    </xf>
    <xf numFmtId="1" fontId="0" fillId="0" borderId="9" xfId="2" applyNumberFormat="1" applyFont="1" applyFill="1" applyBorder="1" applyAlignment="1">
      <alignment horizontal="center"/>
    </xf>
    <xf numFmtId="1" fontId="0" fillId="0" borderId="0" xfId="2" applyNumberFormat="1" applyFont="1" applyFill="1" applyBorder="1" applyAlignment="1">
      <alignment horizontal="center"/>
    </xf>
    <xf numFmtId="1" fontId="0" fillId="0" borderId="10" xfId="2" applyNumberFormat="1" applyFont="1" applyFill="1" applyBorder="1" applyAlignment="1">
      <alignment horizontal="center"/>
    </xf>
    <xf numFmtId="9" fontId="0" fillId="0" borderId="14" xfId="0" applyNumberFormat="1" applyFill="1" applyBorder="1" applyAlignment="1">
      <alignment horizontal="center"/>
    </xf>
    <xf numFmtId="1" fontId="6" fillId="0" borderId="0" xfId="2" applyNumberFormat="1" applyFont="1" applyFill="1" applyBorder="1" applyAlignment="1">
      <alignment horizontal="center"/>
    </xf>
    <xf numFmtId="1" fontId="6" fillId="0" borderId="9" xfId="2" applyNumberFormat="1" applyFont="1" applyFill="1" applyBorder="1" applyAlignment="1">
      <alignment horizontal="center"/>
    </xf>
    <xf numFmtId="1" fontId="6" fillId="0" borderId="10" xfId="2" applyNumberFormat="1" applyFont="1" applyFill="1" applyBorder="1" applyAlignment="1">
      <alignment horizontal="center"/>
    </xf>
    <xf numFmtId="0" fontId="0" fillId="0" borderId="6" xfId="0" applyFill="1" applyBorder="1"/>
    <xf numFmtId="0" fontId="0" fillId="0" borderId="5" xfId="0" applyFill="1" applyBorder="1"/>
    <xf numFmtId="0" fontId="0" fillId="0" borderId="15" xfId="0" applyFill="1" applyBorder="1"/>
    <xf numFmtId="0" fontId="2" fillId="0" borderId="15" xfId="0" applyFont="1" applyFill="1" applyBorder="1"/>
    <xf numFmtId="0" fontId="2" fillId="3" borderId="1" xfId="0" applyFont="1" applyFill="1" applyBorder="1"/>
    <xf numFmtId="0" fontId="2" fillId="0" borderId="5" xfId="0" applyFont="1" applyFill="1" applyBorder="1"/>
    <xf numFmtId="1" fontId="0" fillId="0" borderId="6" xfId="2" applyNumberFormat="1" applyFont="1" applyFill="1" applyBorder="1"/>
    <xf numFmtId="1" fontId="0" fillId="0" borderId="7" xfId="2" applyNumberFormat="1" applyFont="1" applyFill="1" applyBorder="1"/>
    <xf numFmtId="1" fontId="2" fillId="3" borderId="13" xfId="0" applyNumberFormat="1" applyFont="1" applyFill="1" applyBorder="1" applyAlignment="1">
      <alignment horizontal="center"/>
    </xf>
    <xf numFmtId="1" fontId="2" fillId="3" borderId="13" xfId="2" applyNumberFormat="1" applyFont="1" applyFill="1" applyBorder="1" applyAlignment="1">
      <alignment horizontal="center"/>
    </xf>
    <xf numFmtId="165" fontId="2" fillId="3" borderId="14" xfId="0" applyNumberFormat="1" applyFont="1" applyFill="1" applyBorder="1" applyAlignment="1">
      <alignment horizontal="center"/>
    </xf>
    <xf numFmtId="165" fontId="2" fillId="3" borderId="13" xfId="0" applyNumberFormat="1" applyFont="1" applyFill="1" applyBorder="1" applyAlignment="1">
      <alignment horizontal="center"/>
    </xf>
    <xf numFmtId="1" fontId="2" fillId="3" borderId="14" xfId="0" applyNumberFormat="1" applyFont="1" applyFill="1" applyBorder="1" applyAlignment="1">
      <alignment horizontal="center"/>
    </xf>
    <xf numFmtId="165" fontId="2" fillId="3" borderId="2" xfId="0" applyNumberFormat="1" applyFont="1" applyFill="1" applyBorder="1" applyAlignment="1">
      <alignment horizontal="center"/>
    </xf>
    <xf numFmtId="1" fontId="0" fillId="0" borderId="14" xfId="2" applyNumberFormat="1" applyFont="1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" fontId="0" fillId="0" borderId="13" xfId="2" applyNumberFormat="1" applyFont="1" applyFill="1" applyBorder="1" applyAlignment="1">
      <alignment horizontal="center"/>
    </xf>
    <xf numFmtId="1" fontId="0" fillId="0" borderId="2" xfId="2" applyNumberFormat="1" applyFont="1" applyFill="1" applyBorder="1" applyAlignment="1">
      <alignment horizontal="center"/>
    </xf>
    <xf numFmtId="9" fontId="0" fillId="0" borderId="14" xfId="2" applyFont="1" applyFill="1" applyBorder="1" applyAlignment="1">
      <alignment horizontal="center"/>
    </xf>
    <xf numFmtId="9" fontId="0" fillId="0" borderId="13" xfId="2" applyFont="1" applyFill="1" applyBorder="1" applyAlignment="1">
      <alignment horizontal="center"/>
    </xf>
    <xf numFmtId="9" fontId="0" fillId="0" borderId="2" xfId="2" applyFont="1" applyFill="1" applyBorder="1" applyAlignment="1">
      <alignment horizontal="center"/>
    </xf>
    <xf numFmtId="1" fontId="0" fillId="0" borderId="1" xfId="0" applyNumberFormat="1" applyBorder="1" applyAlignment="1">
      <alignment horizontal="center" vertical="center"/>
    </xf>
    <xf numFmtId="0" fontId="0" fillId="0" borderId="15" xfId="0" applyBorder="1" applyAlignment="1">
      <alignment horizontal="center" vertical="center"/>
    </xf>
    <xf numFmtId="0" fontId="0" fillId="0" borderId="1" xfId="0" applyBorder="1" applyAlignment="1">
      <alignment horizontal="center" vertical="center"/>
    </xf>
    <xf numFmtId="0" fontId="0" fillId="0" borderId="1" xfId="0" applyFill="1" applyBorder="1" applyAlignment="1">
      <alignment horizontal="center" vertical="center"/>
    </xf>
    <xf numFmtId="9" fontId="0" fillId="0" borderId="1" xfId="0" applyNumberFormat="1" applyBorder="1" applyAlignment="1">
      <alignment horizontal="center" vertical="center"/>
    </xf>
    <xf numFmtId="10" fontId="0" fillId="0" borderId="0" xfId="2" applyNumberFormat="1" applyFont="1"/>
    <xf numFmtId="0" fontId="0" fillId="0" borderId="0" xfId="0" applyFont="1" applyFill="1" applyBorder="1" applyAlignment="1">
      <alignment vertical="center" wrapText="1"/>
    </xf>
    <xf numFmtId="0" fontId="6" fillId="0" borderId="0" xfId="0" applyFont="1" applyFill="1" applyBorder="1"/>
    <xf numFmtId="0" fontId="6" fillId="0" borderId="6" xfId="0" applyFont="1" applyBorder="1"/>
    <xf numFmtId="0" fontId="6" fillId="0" borderId="9" xfId="0" applyFont="1" applyFill="1" applyBorder="1"/>
    <xf numFmtId="0" fontId="6" fillId="0" borderId="11" xfId="0" applyFont="1" applyFill="1" applyBorder="1"/>
    <xf numFmtId="10" fontId="0" fillId="0" borderId="10" xfId="2" applyNumberFormat="1" applyFont="1" applyBorder="1" applyAlignment="1">
      <alignment horizontal="center"/>
    </xf>
    <xf numFmtId="10" fontId="0" fillId="0" borderId="4" xfId="2" applyNumberFormat="1" applyFont="1" applyBorder="1" applyAlignment="1">
      <alignment horizontal="center"/>
    </xf>
    <xf numFmtId="0" fontId="0" fillId="0" borderId="5" xfId="0" applyFont="1" applyFill="1" applyBorder="1" applyAlignment="1">
      <alignment vertical="center" wrapText="1"/>
    </xf>
    <xf numFmtId="0" fontId="0" fillId="0" borderId="15" xfId="0" applyFont="1" applyFill="1" applyBorder="1" applyAlignment="1">
      <alignment vertical="center" wrapText="1"/>
    </xf>
    <xf numFmtId="165" fontId="0" fillId="0" borderId="8" xfId="0" applyNumberFormat="1" applyBorder="1" applyAlignment="1">
      <alignment horizontal="center"/>
    </xf>
    <xf numFmtId="1" fontId="0" fillId="0" borderId="2" xfId="0" applyNumberFormat="1" applyBorder="1"/>
    <xf numFmtId="1" fontId="0" fillId="2" borderId="9" xfId="0" applyNumberFormat="1" applyFill="1" applyBorder="1" applyAlignment="1">
      <alignment horizontal="center"/>
    </xf>
    <xf numFmtId="9" fontId="0" fillId="2" borderId="10" xfId="0" applyNumberFormat="1" applyFill="1" applyBorder="1" applyAlignment="1">
      <alignment horizontal="center"/>
    </xf>
    <xf numFmtId="1" fontId="1" fillId="2" borderId="9" xfId="2" applyNumberFormat="1" applyFont="1" applyFill="1" applyBorder="1" applyAlignment="1">
      <alignment horizontal="center"/>
    </xf>
    <xf numFmtId="1" fontId="0" fillId="2" borderId="0" xfId="0" applyNumberFormat="1" applyFill="1" applyBorder="1" applyAlignment="1">
      <alignment horizontal="center"/>
    </xf>
    <xf numFmtId="9" fontId="0" fillId="2" borderId="0" xfId="0" applyNumberFormat="1" applyFill="1" applyBorder="1" applyAlignment="1">
      <alignment horizontal="center"/>
    </xf>
    <xf numFmtId="167" fontId="0" fillId="2" borderId="9" xfId="0" applyNumberFormat="1" applyFill="1" applyBorder="1" applyAlignment="1">
      <alignment horizontal="center"/>
    </xf>
    <xf numFmtId="1" fontId="0" fillId="2" borderId="15" xfId="0" applyNumberFormat="1" applyFill="1" applyBorder="1" applyAlignment="1">
      <alignment horizontal="center"/>
    </xf>
    <xf numFmtId="0" fontId="0" fillId="2" borderId="9" xfId="0" applyFill="1" applyBorder="1"/>
    <xf numFmtId="166" fontId="0" fillId="2" borderId="9" xfId="0" applyNumberFormat="1" applyFill="1" applyBorder="1" applyAlignment="1">
      <alignment horizontal="center"/>
    </xf>
    <xf numFmtId="167" fontId="0" fillId="2" borderId="10" xfId="0" applyNumberFormat="1" applyFill="1" applyBorder="1" applyAlignment="1">
      <alignment horizontal="center"/>
    </xf>
    <xf numFmtId="167" fontId="0" fillId="2" borderId="0" xfId="0" applyNumberFormat="1" applyFill="1" applyBorder="1" applyAlignment="1">
      <alignment horizontal="center"/>
    </xf>
    <xf numFmtId="9" fontId="0" fillId="2" borderId="9" xfId="0" applyNumberFormat="1" applyFill="1" applyBorder="1" applyAlignment="1">
      <alignment horizontal="center"/>
    </xf>
    <xf numFmtId="9" fontId="0" fillId="2" borderId="9" xfId="2" applyFont="1" applyFill="1" applyBorder="1" applyAlignment="1">
      <alignment horizontal="center"/>
    </xf>
    <xf numFmtId="9" fontId="0" fillId="2" borderId="15" xfId="2" applyFont="1" applyFill="1" applyBorder="1" applyAlignment="1">
      <alignment horizontal="center"/>
    </xf>
    <xf numFmtId="0" fontId="0" fillId="0" borderId="15" xfId="0" applyBorder="1" applyAlignment="1">
      <alignment vertical="center" wrapText="1"/>
    </xf>
    <xf numFmtId="0" fontId="2" fillId="2" borderId="6" xfId="0" applyFont="1" applyFill="1" applyBorder="1" applyAlignment="1">
      <alignment horizontal="center" vertical="center" wrapText="1"/>
    </xf>
    <xf numFmtId="0" fontId="2" fillId="2" borderId="5" xfId="0" applyFont="1" applyFill="1" applyBorder="1" applyAlignment="1">
      <alignment horizontal="center" wrapText="1"/>
    </xf>
    <xf numFmtId="0" fontId="2" fillId="2" borderId="1" xfId="0" applyFont="1" applyFill="1" applyBorder="1" applyAlignment="1">
      <alignment horizontal="center" vertical="center"/>
    </xf>
    <xf numFmtId="1" fontId="0" fillId="0" borderId="3" xfId="0" applyNumberFormat="1" applyFill="1" applyBorder="1" applyAlignment="1">
      <alignment horizontal="center" vertical="center" wrapText="1"/>
    </xf>
    <xf numFmtId="1" fontId="0" fillId="0" borderId="1" xfId="0" applyNumberFormat="1" applyFill="1" applyBorder="1" applyAlignment="1">
      <alignment horizontal="center" vertical="center"/>
    </xf>
    <xf numFmtId="0" fontId="0" fillId="0" borderId="8" xfId="0" applyBorder="1" applyAlignment="1">
      <alignment horizontal="center"/>
    </xf>
    <xf numFmtId="0" fontId="0" fillId="0" borderId="13" xfId="0" applyFill="1" applyBorder="1" applyAlignment="1">
      <alignment horizontal="center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0" fillId="0" borderId="0" xfId="0" applyAlignment="1">
      <alignment horizontal="center"/>
    </xf>
    <xf numFmtId="0" fontId="0" fillId="0" borderId="7" xfId="0" applyBorder="1" applyAlignment="1">
      <alignment horizontal="center"/>
    </xf>
    <xf numFmtId="0" fontId="2" fillId="4" borderId="15" xfId="0" applyFont="1" applyFill="1" applyBorder="1" applyAlignment="1">
      <alignment horizontal="center"/>
    </xf>
    <xf numFmtId="1" fontId="2" fillId="4" borderId="9" xfId="0" applyNumberFormat="1" applyFont="1" applyFill="1" applyBorder="1" applyAlignment="1">
      <alignment horizontal="center"/>
    </xf>
    <xf numFmtId="0" fontId="2" fillId="4" borderId="10" xfId="0" applyFont="1" applyFill="1" applyBorder="1" applyAlignment="1">
      <alignment horizontal="center"/>
    </xf>
    <xf numFmtId="1" fontId="2" fillId="4" borderId="9" xfId="2" applyNumberFormat="1" applyFont="1" applyFill="1" applyBorder="1" applyAlignment="1">
      <alignment horizontal="center"/>
    </xf>
    <xf numFmtId="0" fontId="0" fillId="4" borderId="0" xfId="0" applyFill="1" applyBorder="1"/>
    <xf numFmtId="167" fontId="2" fillId="4" borderId="9" xfId="0" applyNumberFormat="1" applyFont="1" applyFill="1" applyBorder="1" applyAlignment="1">
      <alignment horizontal="center"/>
    </xf>
    <xf numFmtId="1" fontId="17" fillId="4" borderId="15" xfId="0" applyNumberFormat="1" applyFont="1" applyFill="1" applyBorder="1" applyAlignment="1">
      <alignment horizontal="center"/>
    </xf>
    <xf numFmtId="0" fontId="0" fillId="4" borderId="15" xfId="0" applyFill="1" applyBorder="1" applyAlignment="1">
      <alignment horizontal="center"/>
    </xf>
    <xf numFmtId="166" fontId="0" fillId="4" borderId="15" xfId="0" applyNumberFormat="1" applyFill="1" applyBorder="1" applyAlignment="1">
      <alignment horizontal="center"/>
    </xf>
    <xf numFmtId="0" fontId="0" fillId="4" borderId="0" xfId="0" applyFill="1" applyBorder="1" applyAlignment="1">
      <alignment horizontal="center"/>
    </xf>
    <xf numFmtId="165" fontId="0" fillId="4" borderId="0" xfId="0" applyNumberFormat="1" applyFill="1" applyBorder="1" applyAlignment="1">
      <alignment horizontal="center"/>
    </xf>
    <xf numFmtId="165" fontId="0" fillId="4" borderId="10" xfId="0" applyNumberFormat="1" applyFill="1" applyBorder="1" applyAlignment="1">
      <alignment horizontal="center"/>
    </xf>
    <xf numFmtId="165" fontId="0" fillId="4" borderId="15" xfId="0" applyNumberFormat="1" applyFill="1" applyBorder="1" applyAlignment="1">
      <alignment horizontal="center"/>
    </xf>
    <xf numFmtId="0" fontId="0" fillId="4" borderId="0" xfId="0" applyFill="1"/>
    <xf numFmtId="0" fontId="0" fillId="4" borderId="9" xfId="0" applyFill="1" applyBorder="1"/>
    <xf numFmtId="0" fontId="0" fillId="4" borderId="10" xfId="0" applyFill="1" applyBorder="1" applyAlignment="1">
      <alignment horizontal="center"/>
    </xf>
    <xf numFmtId="166" fontId="0" fillId="4" borderId="0" xfId="0" applyNumberFormat="1" applyFill="1" applyBorder="1" applyAlignment="1">
      <alignment horizontal="center"/>
    </xf>
    <xf numFmtId="9" fontId="0" fillId="4" borderId="9" xfId="2" applyFont="1" applyFill="1" applyBorder="1" applyAlignment="1">
      <alignment horizontal="center"/>
    </xf>
    <xf numFmtId="9" fontId="0" fillId="4" borderId="15" xfId="2" applyFont="1" applyFill="1" applyBorder="1" applyAlignment="1">
      <alignment horizontal="center"/>
    </xf>
    <xf numFmtId="1" fontId="0" fillId="0" borderId="1" xfId="0" applyNumberFormat="1" applyBorder="1" applyAlignment="1">
      <alignment horizontal="center" vertical="center" wrapText="1"/>
    </xf>
    <xf numFmtId="165" fontId="0" fillId="0" borderId="1" xfId="0" applyNumberFormat="1" applyFill="1" applyBorder="1" applyAlignment="1">
      <alignment horizontal="center" vertical="center" wrapText="1"/>
    </xf>
    <xf numFmtId="1" fontId="2" fillId="3" borderId="12" xfId="0" applyNumberFormat="1" applyFont="1" applyFill="1" applyBorder="1" applyAlignment="1">
      <alignment horizontal="center"/>
    </xf>
    <xf numFmtId="1" fontId="2" fillId="3" borderId="12" xfId="2" applyNumberFormat="1" applyFont="1" applyFill="1" applyBorder="1" applyAlignment="1">
      <alignment horizontal="center"/>
    </xf>
    <xf numFmtId="1" fontId="2" fillId="3" borderId="11" xfId="2" applyNumberFormat="1" applyFont="1" applyFill="1" applyBorder="1" applyAlignment="1">
      <alignment horizontal="center"/>
    </xf>
    <xf numFmtId="165" fontId="2" fillId="3" borderId="11" xfId="0" applyNumberFormat="1" applyFont="1" applyFill="1" applyBorder="1" applyAlignment="1">
      <alignment horizontal="center"/>
    </xf>
    <xf numFmtId="165" fontId="2" fillId="3" borderId="12" xfId="0" applyNumberFormat="1" applyFont="1" applyFill="1" applyBorder="1" applyAlignment="1">
      <alignment horizontal="center"/>
    </xf>
    <xf numFmtId="1" fontId="0" fillId="0" borderId="8" xfId="2" applyNumberFormat="1" applyFont="1" applyFill="1" applyBorder="1"/>
    <xf numFmtId="1" fontId="2" fillId="3" borderId="4" xfId="2" applyNumberFormat="1" applyFont="1" applyFill="1" applyBorder="1" applyAlignment="1">
      <alignment horizontal="center"/>
    </xf>
    <xf numFmtId="1" fontId="2" fillId="3" borderId="2" xfId="2" applyNumberFormat="1" applyFont="1" applyFill="1" applyBorder="1" applyAlignment="1">
      <alignment horizontal="center"/>
    </xf>
    <xf numFmtId="0" fontId="2" fillId="3" borderId="3" xfId="0" applyFont="1" applyFill="1" applyBorder="1"/>
    <xf numFmtId="0" fontId="2" fillId="8" borderId="1" xfId="0" applyFont="1" applyFill="1" applyBorder="1"/>
    <xf numFmtId="1" fontId="2" fillId="8" borderId="14" xfId="0" applyNumberFormat="1" applyFont="1" applyFill="1" applyBorder="1" applyAlignment="1">
      <alignment horizontal="center"/>
    </xf>
    <xf numFmtId="1" fontId="2" fillId="8" borderId="13" xfId="0" applyNumberFormat="1" applyFont="1" applyFill="1" applyBorder="1" applyAlignment="1">
      <alignment horizontal="center"/>
    </xf>
    <xf numFmtId="1" fontId="2" fillId="8" borderId="2" xfId="0" applyNumberFormat="1" applyFont="1" applyFill="1" applyBorder="1" applyAlignment="1">
      <alignment horizontal="center"/>
    </xf>
    <xf numFmtId="165" fontId="2" fillId="3" borderId="4" xfId="0" applyNumberFormat="1" applyFont="1" applyFill="1" applyBorder="1" applyAlignment="1">
      <alignment horizontal="center"/>
    </xf>
    <xf numFmtId="165" fontId="2" fillId="8" borderId="14" xfId="0" applyNumberFormat="1" applyFont="1" applyFill="1" applyBorder="1" applyAlignment="1">
      <alignment horizontal="center"/>
    </xf>
    <xf numFmtId="165" fontId="2" fillId="8" borderId="13" xfId="0" applyNumberFormat="1" applyFont="1" applyFill="1" applyBorder="1" applyAlignment="1">
      <alignment horizontal="center"/>
    </xf>
    <xf numFmtId="165" fontId="2" fillId="8" borderId="2" xfId="0" applyNumberFormat="1" applyFont="1" applyFill="1" applyBorder="1" applyAlignment="1">
      <alignment horizontal="center"/>
    </xf>
    <xf numFmtId="1" fontId="0" fillId="0" borderId="1" xfId="0" quotePrefix="1" applyNumberFormat="1" applyFill="1" applyBorder="1" applyAlignment="1">
      <alignment horizontal="center" vertical="center"/>
    </xf>
    <xf numFmtId="1" fontId="0" fillId="3" borderId="11" xfId="0" applyNumberFormat="1" applyFill="1" applyBorder="1" applyAlignment="1">
      <alignment horizontal="center"/>
    </xf>
    <xf numFmtId="1" fontId="0" fillId="3" borderId="4" xfId="0" applyNumberFormat="1" applyFill="1" applyBorder="1" applyAlignment="1">
      <alignment horizontal="center"/>
    </xf>
    <xf numFmtId="1" fontId="2" fillId="8" borderId="13" xfId="2" applyNumberFormat="1" applyFont="1" applyFill="1" applyBorder="1" applyAlignment="1">
      <alignment horizontal="center"/>
    </xf>
    <xf numFmtId="1" fontId="2" fillId="8" borderId="2" xfId="2" applyNumberFormat="1" applyFont="1" applyFill="1" applyBorder="1" applyAlignment="1">
      <alignment horizontal="center"/>
    </xf>
    <xf numFmtId="1" fontId="2" fillId="3" borderId="4" xfId="0" applyNumberFormat="1" applyFont="1" applyFill="1" applyBorder="1" applyAlignment="1">
      <alignment horizontal="center"/>
    </xf>
    <xf numFmtId="0" fontId="2" fillId="8" borderId="14" xfId="0" applyFont="1" applyFill="1" applyBorder="1"/>
    <xf numFmtId="1" fontId="2" fillId="8" borderId="14" xfId="2" applyNumberFormat="1" applyFont="1" applyFill="1" applyBorder="1" applyAlignment="1">
      <alignment horizontal="center"/>
    </xf>
    <xf numFmtId="9" fontId="0" fillId="0" borderId="0" xfId="2" applyFont="1" applyFill="1" applyBorder="1" applyAlignment="1">
      <alignment horizontal="center"/>
    </xf>
    <xf numFmtId="0" fontId="2" fillId="8" borderId="1" xfId="0" applyFont="1" applyFill="1" applyBorder="1" applyAlignment="1">
      <alignment horizontal="left"/>
    </xf>
    <xf numFmtId="1" fontId="2" fillId="3" borderId="13" xfId="2" applyNumberFormat="1" applyFont="1" applyFill="1" applyBorder="1"/>
    <xf numFmtId="1" fontId="2" fillId="3" borderId="2" xfId="2" applyNumberFormat="1" applyFont="1" applyFill="1" applyBorder="1"/>
    <xf numFmtId="1" fontId="6" fillId="0" borderId="13" xfId="2" applyNumberFormat="1" applyFont="1" applyFill="1" applyBorder="1" applyAlignment="1">
      <alignment horizontal="center"/>
    </xf>
    <xf numFmtId="1" fontId="6" fillId="0" borderId="2" xfId="2" applyNumberFormat="1" applyFont="1" applyFill="1" applyBorder="1" applyAlignment="1">
      <alignment horizontal="center"/>
    </xf>
    <xf numFmtId="165" fontId="2" fillId="3" borderId="10" xfId="0" applyNumberFormat="1" applyFont="1" applyFill="1" applyBorder="1" applyAlignment="1">
      <alignment horizontal="center"/>
    </xf>
    <xf numFmtId="9" fontId="0" fillId="0" borderId="1" xfId="0" applyNumberFormat="1" applyFill="1" applyBorder="1" applyAlignment="1">
      <alignment horizontal="center"/>
    </xf>
    <xf numFmtId="1" fontId="0" fillId="0" borderId="1" xfId="2" applyNumberFormat="1" applyFont="1" applyFill="1" applyBorder="1" applyAlignment="1">
      <alignment horizontal="center"/>
    </xf>
    <xf numFmtId="1" fontId="2" fillId="8" borderId="1" xfId="0" applyNumberFormat="1" applyFont="1" applyFill="1" applyBorder="1" applyAlignment="1">
      <alignment horizontal="center"/>
    </xf>
    <xf numFmtId="1" fontId="2" fillId="8" borderId="1" xfId="2" applyNumberFormat="1" applyFont="1" applyFill="1" applyBorder="1" applyAlignment="1">
      <alignment horizontal="center"/>
    </xf>
    <xf numFmtId="1" fontId="2" fillId="3" borderId="1" xfId="2" applyNumberFormat="1" applyFont="1" applyFill="1" applyBorder="1"/>
    <xf numFmtId="1" fontId="6" fillId="0" borderId="1" xfId="2" applyNumberFormat="1" applyFont="1" applyFill="1" applyBorder="1" applyAlignment="1">
      <alignment horizontal="center"/>
    </xf>
    <xf numFmtId="165" fontId="2" fillId="8" borderId="1" xfId="0" applyNumberFormat="1" applyFont="1" applyFill="1" applyBorder="1" applyAlignment="1">
      <alignment horizontal="center"/>
    </xf>
    <xf numFmtId="165" fontId="2" fillId="3" borderId="1" xfId="0" applyNumberFormat="1" applyFont="1" applyFill="1" applyBorder="1" applyAlignment="1">
      <alignment horizontal="center"/>
    </xf>
    <xf numFmtId="1" fontId="0" fillId="0" borderId="12" xfId="2" applyNumberFormat="1" applyFont="1" applyFill="1" applyBorder="1" applyAlignment="1">
      <alignment horizontal="center"/>
    </xf>
    <xf numFmtId="1" fontId="0" fillId="0" borderId="4" xfId="2" applyNumberFormat="1" applyFont="1" applyFill="1" applyBorder="1" applyAlignment="1">
      <alignment horizontal="center"/>
    </xf>
    <xf numFmtId="0" fontId="2" fillId="3" borderId="14" xfId="0" applyFont="1" applyFill="1" applyBorder="1"/>
    <xf numFmtId="0" fontId="4" fillId="0" borderId="3" xfId="0" applyFont="1" applyFill="1" applyBorder="1" applyAlignment="1">
      <alignment vertical="center" wrapText="1"/>
    </xf>
    <xf numFmtId="1" fontId="0" fillId="0" borderId="0" xfId="2" applyNumberFormat="1" applyFont="1" applyFill="1" applyBorder="1"/>
    <xf numFmtId="9" fontId="0" fillId="0" borderId="3" xfId="2" applyNumberFormat="1" applyFont="1" applyBorder="1" applyAlignment="1">
      <alignment horizontal="center"/>
    </xf>
    <xf numFmtId="9" fontId="0" fillId="0" borderId="0" xfId="2" applyNumberFormat="1" applyFont="1" applyBorder="1" applyAlignment="1">
      <alignment horizontal="center"/>
    </xf>
    <xf numFmtId="9" fontId="0" fillId="0" borderId="15" xfId="2" applyNumberFormat="1" applyFont="1" applyBorder="1" applyAlignment="1">
      <alignment horizontal="center"/>
    </xf>
    <xf numFmtId="9" fontId="0" fillId="0" borderId="10" xfId="2" applyNumberFormat="1" applyFont="1" applyBorder="1" applyAlignment="1">
      <alignment horizontal="center"/>
    </xf>
    <xf numFmtId="9" fontId="0" fillId="0" borderId="12" xfId="2" applyNumberFormat="1" applyFont="1" applyBorder="1" applyAlignment="1">
      <alignment horizontal="center"/>
    </xf>
    <xf numFmtId="9" fontId="0" fillId="0" borderId="4" xfId="2" applyNumberFormat="1" applyFont="1" applyBorder="1" applyAlignment="1">
      <alignment horizontal="center"/>
    </xf>
    <xf numFmtId="165" fontId="0" fillId="11" borderId="0" xfId="0" applyNumberFormat="1" applyFill="1" applyBorder="1" applyAlignment="1">
      <alignment horizontal="center"/>
    </xf>
    <xf numFmtId="165" fontId="0" fillId="11" borderId="15" xfId="0" applyNumberFormat="1" applyFill="1" applyBorder="1" applyAlignment="1">
      <alignment horizontal="center"/>
    </xf>
    <xf numFmtId="0" fontId="0" fillId="11" borderId="15" xfId="0" applyFill="1" applyBorder="1"/>
    <xf numFmtId="0" fontId="0" fillId="11" borderId="0" xfId="0" applyFill="1"/>
    <xf numFmtId="0" fontId="0" fillId="11" borderId="9" xfId="0" applyFill="1" applyBorder="1"/>
    <xf numFmtId="166" fontId="0" fillId="11" borderId="9" xfId="0" applyNumberFormat="1" applyFill="1" applyBorder="1" applyAlignment="1">
      <alignment horizontal="center"/>
    </xf>
    <xf numFmtId="167" fontId="0" fillId="11" borderId="10" xfId="0" applyNumberFormat="1" applyFill="1" applyBorder="1" applyAlignment="1">
      <alignment horizontal="center"/>
    </xf>
    <xf numFmtId="9" fontId="0" fillId="11" borderId="0" xfId="0" applyNumberFormat="1" applyFill="1" applyBorder="1" applyAlignment="1">
      <alignment horizontal="center"/>
    </xf>
    <xf numFmtId="167" fontId="0" fillId="11" borderId="0" xfId="0" applyNumberFormat="1" applyFill="1" applyBorder="1" applyAlignment="1">
      <alignment horizontal="center"/>
    </xf>
    <xf numFmtId="9" fontId="0" fillId="11" borderId="9" xfId="0" applyNumberFormat="1" applyFill="1" applyBorder="1" applyAlignment="1">
      <alignment horizontal="center"/>
    </xf>
    <xf numFmtId="9" fontId="0" fillId="11" borderId="9" xfId="2" applyFont="1" applyFill="1" applyBorder="1" applyAlignment="1">
      <alignment horizontal="center"/>
    </xf>
    <xf numFmtId="9" fontId="0" fillId="11" borderId="15" xfId="2" applyFont="1" applyFill="1" applyBorder="1" applyAlignment="1">
      <alignment horizontal="center"/>
    </xf>
    <xf numFmtId="166" fontId="0" fillId="0" borderId="10" xfId="2" applyNumberFormat="1" applyFont="1" applyBorder="1" applyAlignment="1">
      <alignment horizontal="center"/>
    </xf>
    <xf numFmtId="166" fontId="0" fillId="0" borderId="0" xfId="2" applyNumberFormat="1" applyFont="1" applyBorder="1" applyAlignment="1">
      <alignment horizontal="center"/>
    </xf>
    <xf numFmtId="166" fontId="0" fillId="0" borderId="8" xfId="2" applyNumberFormat="1" applyFont="1" applyBorder="1" applyAlignment="1">
      <alignment horizontal="center"/>
    </xf>
    <xf numFmtId="166" fontId="0" fillId="0" borderId="4" xfId="2" applyNumberFormat="1" applyFont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5" xfId="0" applyBorder="1" applyAlignment="1">
      <alignment horizontal="left" vertical="center" wrapText="1"/>
    </xf>
    <xf numFmtId="0" fontId="0" fillId="0" borderId="3" xfId="0" applyBorder="1" applyAlignment="1">
      <alignment horizontal="left" vertical="center" wrapText="1"/>
    </xf>
    <xf numFmtId="0" fontId="0" fillId="0" borderId="0" xfId="0" applyAlignment="1">
      <alignment horizontal="center"/>
    </xf>
    <xf numFmtId="0" fontId="4" fillId="6" borderId="3" xfId="0" applyFont="1" applyFill="1" applyBorder="1" applyAlignment="1">
      <alignment vertical="center" wrapText="1"/>
    </xf>
    <xf numFmtId="0" fontId="0" fillId="0" borderId="0" xfId="0" applyBorder="1" applyAlignment="1">
      <alignment horizontal="center" vertical="center" wrapText="1"/>
    </xf>
    <xf numFmtId="9" fontId="0" fillId="0" borderId="0" xfId="2" applyFont="1" applyBorder="1" applyAlignment="1">
      <alignment vertical="center" wrapText="1"/>
    </xf>
    <xf numFmtId="9" fontId="0" fillId="0" borderId="0" xfId="2" applyFont="1" applyBorder="1"/>
    <xf numFmtId="9" fontId="0" fillId="0" borderId="0" xfId="2" applyFont="1" applyFill="1" applyBorder="1"/>
    <xf numFmtId="9" fontId="0" fillId="0" borderId="0" xfId="2" applyFont="1" applyFill="1" applyBorder="1" applyAlignment="1">
      <alignment vertical="center" wrapText="1"/>
    </xf>
    <xf numFmtId="1" fontId="2" fillId="0" borderId="9" xfId="2" applyNumberFormat="1" applyFont="1" applyFill="1" applyBorder="1" applyAlignment="1">
      <alignment horizontal="center"/>
    </xf>
    <xf numFmtId="1" fontId="2" fillId="0" borderId="0" xfId="2" applyNumberFormat="1" applyFont="1" applyFill="1" applyBorder="1" applyAlignment="1">
      <alignment horizontal="center"/>
    </xf>
    <xf numFmtId="165" fontId="2" fillId="0" borderId="10" xfId="2" applyNumberFormat="1" applyFont="1" applyFill="1" applyBorder="1" applyAlignment="1">
      <alignment horizontal="center"/>
    </xf>
    <xf numFmtId="165" fontId="2" fillId="0" borderId="9" xfId="0" applyNumberFormat="1" applyFont="1" applyFill="1" applyBorder="1" applyAlignment="1">
      <alignment horizontal="center"/>
    </xf>
    <xf numFmtId="165" fontId="2" fillId="0" borderId="10" xfId="0" applyNumberFormat="1" applyFont="1" applyFill="1" applyBorder="1" applyAlignment="1">
      <alignment horizontal="center"/>
    </xf>
    <xf numFmtId="164" fontId="0" fillId="0" borderId="0" xfId="3" applyFont="1" applyBorder="1"/>
    <xf numFmtId="165" fontId="0" fillId="2" borderId="9" xfId="0" applyNumberFormat="1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165" fontId="0" fillId="2" borderId="10" xfId="0" applyNumberFormat="1" applyFill="1" applyBorder="1" applyAlignment="1">
      <alignment horizontal="center"/>
    </xf>
    <xf numFmtId="0" fontId="0" fillId="0" borderId="5" xfId="0" applyBorder="1" applyAlignment="1">
      <alignment vertical="center" wrapText="1"/>
    </xf>
    <xf numFmtId="10" fontId="0" fillId="0" borderId="1" xfId="2" applyNumberFormat="1" applyFont="1" applyFill="1" applyBorder="1" applyAlignment="1">
      <alignment horizontal="center"/>
    </xf>
    <xf numFmtId="10" fontId="0" fillId="0" borderId="0" xfId="2" applyNumberFormat="1" applyFont="1" applyFill="1" applyAlignment="1">
      <alignment horizontal="center"/>
    </xf>
    <xf numFmtId="2" fontId="0" fillId="0" borderId="1" xfId="0" applyNumberFormat="1" applyBorder="1" applyAlignment="1">
      <alignment horizontal="center" vertical="center" wrapText="1"/>
    </xf>
    <xf numFmtId="0" fontId="0" fillId="2" borderId="3" xfId="0" applyFill="1" applyBorder="1" applyAlignment="1">
      <alignment vertical="center" wrapText="1"/>
    </xf>
    <xf numFmtId="0" fontId="4" fillId="0" borderId="14" xfId="0" applyFont="1" applyBorder="1" applyAlignment="1">
      <alignment horizontal="center"/>
    </xf>
    <xf numFmtId="164" fontId="0" fillId="0" borderId="0" xfId="0" applyNumberFormat="1" applyBorder="1"/>
    <xf numFmtId="164" fontId="9" fillId="0" borderId="0" xfId="3" applyFont="1"/>
    <xf numFmtId="164" fontId="0" fillId="0" borderId="0" xfId="0" applyNumberFormat="1"/>
    <xf numFmtId="167" fontId="0" fillId="0" borderId="1" xfId="0" applyNumberFormat="1" applyBorder="1" applyAlignment="1"/>
    <xf numFmtId="164" fontId="0" fillId="0" borderId="0" xfId="0" applyNumberFormat="1" applyFill="1"/>
    <xf numFmtId="2" fontId="0" fillId="0" borderId="0" xfId="0" applyNumberFormat="1" applyBorder="1" applyAlignment="1"/>
    <xf numFmtId="165" fontId="0" fillId="0" borderId="9" xfId="2" applyNumberFormat="1" applyFont="1" applyFill="1" applyBorder="1" applyAlignment="1">
      <alignment horizontal="center"/>
    </xf>
    <xf numFmtId="1" fontId="2" fillId="3" borderId="14" xfId="2" applyNumberFormat="1" applyFont="1" applyFill="1" applyBorder="1" applyAlignment="1">
      <alignment horizontal="center"/>
    </xf>
    <xf numFmtId="165" fontId="2" fillId="0" borderId="9" xfId="2" applyNumberFormat="1" applyFont="1" applyFill="1" applyBorder="1" applyAlignment="1">
      <alignment horizontal="center"/>
    </xf>
    <xf numFmtId="167" fontId="0" fillId="3" borderId="11" xfId="0" applyNumberFormat="1" applyFill="1" applyBorder="1" applyAlignment="1">
      <alignment horizontal="center"/>
    </xf>
    <xf numFmtId="1" fontId="2" fillId="3" borderId="14" xfId="2" applyNumberFormat="1" applyFont="1" applyFill="1" applyBorder="1"/>
    <xf numFmtId="1" fontId="6" fillId="0" borderId="14" xfId="2" applyNumberFormat="1" applyFont="1" applyFill="1" applyBorder="1" applyAlignment="1">
      <alignment horizontal="center"/>
    </xf>
    <xf numFmtId="2" fontId="4" fillId="0" borderId="5" xfId="0" applyNumberFormat="1" applyFont="1" applyBorder="1" applyAlignment="1">
      <alignment horizontal="center"/>
    </xf>
    <xf numFmtId="2" fontId="4" fillId="0" borderId="15" xfId="0" applyNumberFormat="1" applyFont="1" applyBorder="1" applyAlignment="1">
      <alignment horizontal="center"/>
    </xf>
    <xf numFmtId="2" fontId="4" fillId="0" borderId="3" xfId="0" applyNumberFormat="1" applyFont="1" applyBorder="1" applyAlignment="1">
      <alignment horizontal="center"/>
    </xf>
    <xf numFmtId="164" fontId="0" fillId="0" borderId="0" xfId="0" applyNumberFormat="1" applyFill="1" applyBorder="1"/>
    <xf numFmtId="165" fontId="4" fillId="0" borderId="6" xfId="0" applyNumberFormat="1" applyFont="1" applyFill="1" applyBorder="1" applyAlignment="1">
      <alignment horizontal="center"/>
    </xf>
    <xf numFmtId="165" fontId="4" fillId="0" borderId="9" xfId="0" applyNumberFormat="1" applyFont="1" applyFill="1" applyBorder="1" applyAlignment="1">
      <alignment horizontal="center"/>
    </xf>
    <xf numFmtId="0" fontId="4" fillId="0" borderId="0" xfId="0" applyFont="1" applyBorder="1" applyAlignment="1">
      <alignment horizontal="center"/>
    </xf>
    <xf numFmtId="0" fontId="16" fillId="0" borderId="0" xfId="0" applyFont="1" applyBorder="1" applyAlignment="1">
      <alignment horizontal="center"/>
    </xf>
    <xf numFmtId="1" fontId="2" fillId="3" borderId="1" xfId="0" applyNumberFormat="1" applyFont="1" applyFill="1" applyBorder="1" applyAlignment="1">
      <alignment horizontal="center"/>
    </xf>
    <xf numFmtId="1" fontId="2" fillId="3" borderId="3" xfId="0" applyNumberFormat="1" applyFont="1" applyFill="1" applyBorder="1" applyAlignment="1">
      <alignment horizontal="center"/>
    </xf>
    <xf numFmtId="1" fontId="0" fillId="0" borderId="3" xfId="2" applyNumberFormat="1" applyFont="1" applyFill="1" applyBorder="1" applyAlignment="1">
      <alignment horizontal="center"/>
    </xf>
    <xf numFmtId="0" fontId="0" fillId="0" borderId="5" xfId="0" applyFont="1" applyBorder="1" applyAlignment="1">
      <alignment horizontal="center"/>
    </xf>
    <xf numFmtId="0" fontId="0" fillId="0" borderId="7" xfId="0" applyFont="1" applyBorder="1" applyAlignment="1">
      <alignment horizontal="center"/>
    </xf>
    <xf numFmtId="1" fontId="2" fillId="3" borderId="2" xfId="0" applyNumberFormat="1" applyFont="1" applyFill="1" applyBorder="1" applyAlignment="1">
      <alignment horizontal="center"/>
    </xf>
    <xf numFmtId="9" fontId="0" fillId="0" borderId="0" xfId="0" applyNumberFormat="1" applyFill="1" applyBorder="1"/>
    <xf numFmtId="2" fontId="0" fillId="0" borderId="0" xfId="0" applyNumberFormat="1" applyFill="1"/>
    <xf numFmtId="0" fontId="4" fillId="0" borderId="14" xfId="0" applyFont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9" borderId="5" xfId="0" applyFill="1" applyBorder="1" applyAlignment="1">
      <alignment horizontal="center"/>
    </xf>
    <xf numFmtId="0" fontId="0" fillId="9" borderId="15" xfId="0" applyFill="1" applyBorder="1" applyAlignment="1">
      <alignment horizontal="center"/>
    </xf>
    <xf numFmtId="0" fontId="22" fillId="0" borderId="0" xfId="0" applyFont="1" applyBorder="1" applyAlignment="1">
      <alignment horizontal="left"/>
    </xf>
    <xf numFmtId="1" fontId="4" fillId="0" borderId="1" xfId="0" applyNumberFormat="1" applyFont="1" applyBorder="1" applyAlignment="1">
      <alignment horizontal="center"/>
    </xf>
    <xf numFmtId="165" fontId="0" fillId="3" borderId="5" xfId="0" applyNumberFormat="1" applyFill="1" applyBorder="1" applyAlignment="1">
      <alignment horizontal="center"/>
    </xf>
    <xf numFmtId="165" fontId="0" fillId="3" borderId="7" xfId="0" applyNumberFormat="1" applyFill="1" applyBorder="1" applyAlignment="1">
      <alignment horizontal="center"/>
    </xf>
    <xf numFmtId="165" fontId="0" fillId="3" borderId="8" xfId="0" applyNumberFormat="1" applyFill="1" applyBorder="1" applyAlignment="1">
      <alignment horizontal="center"/>
    </xf>
    <xf numFmtId="2" fontId="0" fillId="3" borderId="15" xfId="0" applyNumberFormat="1" applyFill="1" applyBorder="1" applyAlignment="1">
      <alignment horizontal="center"/>
    </xf>
    <xf numFmtId="2" fontId="0" fillId="3" borderId="0" xfId="0" applyNumberFormat="1" applyFill="1" applyBorder="1" applyAlignment="1">
      <alignment horizontal="center"/>
    </xf>
    <xf numFmtId="2" fontId="0" fillId="3" borderId="10" xfId="0" applyNumberFormat="1" applyFill="1" applyBorder="1" applyAlignment="1">
      <alignment horizontal="center"/>
    </xf>
    <xf numFmtId="2" fontId="0" fillId="3" borderId="3" xfId="0" applyNumberFormat="1" applyFill="1" applyBorder="1" applyAlignment="1">
      <alignment horizontal="center"/>
    </xf>
    <xf numFmtId="2" fontId="0" fillId="3" borderId="12" xfId="0" applyNumberFormat="1" applyFill="1" applyBorder="1" applyAlignment="1">
      <alignment horizontal="center"/>
    </xf>
    <xf numFmtId="2" fontId="0" fillId="3" borderId="4" xfId="0" applyNumberFormat="1" applyFill="1" applyBorder="1" applyAlignment="1">
      <alignment horizontal="center"/>
    </xf>
    <xf numFmtId="165" fontId="0" fillId="3" borderId="6" xfId="0" applyNumberFormat="1" applyFill="1" applyBorder="1" applyAlignment="1">
      <alignment horizontal="center"/>
    </xf>
    <xf numFmtId="2" fontId="0" fillId="3" borderId="9" xfId="0" applyNumberFormat="1" applyFill="1" applyBorder="1" applyAlignment="1">
      <alignment horizontal="center"/>
    </xf>
    <xf numFmtId="2" fontId="0" fillId="3" borderId="11" xfId="0" applyNumberForma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6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7" xfId="0" applyBorder="1" applyAlignment="1">
      <alignment horizontal="center"/>
    </xf>
    <xf numFmtId="2" fontId="0" fillId="0" borderId="1" xfId="3" applyNumberFormat="1" applyFont="1" applyFill="1" applyBorder="1" applyAlignment="1">
      <alignment horizontal="center" vertical="center" wrapText="1"/>
    </xf>
    <xf numFmtId="2" fontId="0" fillId="0" borderId="1" xfId="3" applyNumberFormat="1" applyFont="1" applyBorder="1" applyAlignment="1">
      <alignment horizontal="center" vertical="center" wrapText="1"/>
    </xf>
    <xf numFmtId="2" fontId="0" fillId="0" borderId="1" xfId="2" applyNumberFormat="1" applyFont="1" applyFill="1" applyBorder="1" applyAlignment="1">
      <alignment horizontal="center"/>
    </xf>
    <xf numFmtId="0" fontId="0" fillId="11" borderId="15" xfId="0" applyFill="1" applyBorder="1" applyAlignment="1">
      <alignment horizontal="center"/>
    </xf>
    <xf numFmtId="1" fontId="0" fillId="11" borderId="9" xfId="0" applyNumberFormat="1" applyFill="1" applyBorder="1" applyAlignment="1">
      <alignment horizontal="center"/>
    </xf>
    <xf numFmtId="9" fontId="0" fillId="11" borderId="10" xfId="0" applyNumberFormat="1" applyFill="1" applyBorder="1" applyAlignment="1">
      <alignment horizontal="center"/>
    </xf>
    <xf numFmtId="1" fontId="1" fillId="11" borderId="9" xfId="2" applyNumberFormat="1" applyFont="1" applyFill="1" applyBorder="1" applyAlignment="1">
      <alignment horizontal="center"/>
    </xf>
    <xf numFmtId="0" fontId="0" fillId="11" borderId="10" xfId="0" applyFill="1" applyBorder="1"/>
    <xf numFmtId="167" fontId="2" fillId="11" borderId="11" xfId="0" applyNumberFormat="1" applyFont="1" applyFill="1" applyBorder="1" applyAlignment="1">
      <alignment horizontal="center"/>
    </xf>
    <xf numFmtId="1" fontId="4" fillId="11" borderId="15" xfId="0" applyNumberFormat="1" applyFont="1" applyFill="1" applyBorder="1" applyAlignment="1">
      <alignment horizontal="center"/>
    </xf>
    <xf numFmtId="165" fontId="0" fillId="11" borderId="10" xfId="0" applyNumberFormat="1" applyFill="1" applyBorder="1" applyAlignment="1">
      <alignment horizontal="center"/>
    </xf>
    <xf numFmtId="1" fontId="4" fillId="0" borderId="6" xfId="0" applyNumberFormat="1" applyFont="1" applyFill="1" applyBorder="1" applyAlignment="1">
      <alignment horizontal="center"/>
    </xf>
    <xf numFmtId="1" fontId="4" fillId="0" borderId="9" xfId="0" applyNumberFormat="1" applyFont="1" applyFill="1" applyBorder="1" applyAlignment="1">
      <alignment horizontal="center"/>
    </xf>
    <xf numFmtId="1" fontId="0" fillId="0" borderId="0" xfId="2" applyNumberFormat="1" applyFont="1" applyBorder="1"/>
    <xf numFmtId="1" fontId="4" fillId="0" borderId="11" xfId="0" applyNumberFormat="1" applyFont="1" applyFill="1" applyBorder="1" applyAlignment="1">
      <alignment horizontal="center"/>
    </xf>
    <xf numFmtId="1" fontId="0" fillId="0" borderId="12" xfId="2" applyNumberFormat="1" applyFont="1" applyBorder="1"/>
    <xf numFmtId="9" fontId="0" fillId="0" borderId="15" xfId="0" applyNumberFormat="1" applyBorder="1"/>
    <xf numFmtId="9" fontId="0" fillId="0" borderId="3" xfId="0" applyNumberFormat="1" applyBorder="1"/>
    <xf numFmtId="167" fontId="0" fillId="0" borderId="4" xfId="0" applyNumberFormat="1" applyBorder="1"/>
    <xf numFmtId="9" fontId="0" fillId="0" borderId="7" xfId="0" applyNumberFormat="1" applyBorder="1"/>
    <xf numFmtId="2" fontId="0" fillId="0" borderId="12" xfId="0" applyNumberFormat="1" applyBorder="1"/>
    <xf numFmtId="10" fontId="0" fillId="4" borderId="10" xfId="2" applyNumberFormat="1" applyFont="1" applyFill="1" applyBorder="1" applyAlignment="1">
      <alignment horizontal="center"/>
    </xf>
    <xf numFmtId="10" fontId="0" fillId="2" borderId="10" xfId="2" applyNumberFormat="1" applyFont="1" applyFill="1" applyBorder="1" applyAlignment="1">
      <alignment horizontal="center"/>
    </xf>
    <xf numFmtId="165" fontId="0" fillId="2" borderId="15" xfId="0" applyNumberFormat="1" applyFill="1" applyBorder="1" applyAlignment="1">
      <alignment horizontal="center"/>
    </xf>
    <xf numFmtId="0" fontId="0" fillId="11" borderId="10" xfId="0" applyFill="1" applyBorder="1" applyAlignment="1">
      <alignment horizontal="center"/>
    </xf>
    <xf numFmtId="0" fontId="0" fillId="16" borderId="3" xfId="0" applyFill="1" applyBorder="1"/>
    <xf numFmtId="0" fontId="0" fillId="16" borderId="3" xfId="0" applyFill="1" applyBorder="1" applyAlignment="1">
      <alignment horizontal="center"/>
    </xf>
    <xf numFmtId="1" fontId="0" fillId="16" borderId="11" xfId="0" applyNumberFormat="1" applyFill="1" applyBorder="1" applyAlignment="1">
      <alignment horizontal="center"/>
    </xf>
    <xf numFmtId="9" fontId="0" fillId="16" borderId="4" xfId="0" applyNumberFormat="1" applyFill="1" applyBorder="1" applyAlignment="1">
      <alignment horizontal="center"/>
    </xf>
    <xf numFmtId="1" fontId="1" fillId="16" borderId="11" xfId="2" applyNumberFormat="1" applyFont="1" applyFill="1" applyBorder="1" applyAlignment="1">
      <alignment horizontal="center"/>
    </xf>
    <xf numFmtId="1" fontId="0" fillId="16" borderId="12" xfId="0" applyNumberFormat="1" applyFill="1" applyBorder="1" applyAlignment="1">
      <alignment horizontal="center"/>
    </xf>
    <xf numFmtId="9" fontId="0" fillId="16" borderId="12" xfId="0" applyNumberFormat="1" applyFill="1" applyBorder="1" applyAlignment="1">
      <alignment horizontal="center"/>
    </xf>
    <xf numFmtId="167" fontId="0" fillId="16" borderId="11" xfId="0" applyNumberFormat="1" applyFill="1" applyBorder="1" applyAlignment="1">
      <alignment horizontal="center"/>
    </xf>
    <xf numFmtId="1" fontId="0" fillId="16" borderId="3" xfId="0" applyNumberFormat="1" applyFill="1" applyBorder="1" applyAlignment="1">
      <alignment horizontal="center"/>
    </xf>
    <xf numFmtId="165" fontId="0" fillId="16" borderId="11" xfId="0" applyNumberFormat="1" applyFill="1" applyBorder="1" applyAlignment="1">
      <alignment horizontal="center"/>
    </xf>
    <xf numFmtId="165" fontId="0" fillId="16" borderId="3" xfId="0" applyNumberFormat="1" applyFill="1" applyBorder="1" applyAlignment="1">
      <alignment horizontal="center"/>
    </xf>
    <xf numFmtId="10" fontId="0" fillId="16" borderId="4" xfId="2" applyNumberFormat="1" applyFont="1" applyFill="1" applyBorder="1" applyAlignment="1">
      <alignment horizontal="center"/>
    </xf>
    <xf numFmtId="165" fontId="0" fillId="16" borderId="4" xfId="0" applyNumberFormat="1" applyFill="1" applyBorder="1" applyAlignment="1">
      <alignment horizontal="center"/>
    </xf>
    <xf numFmtId="0" fontId="0" fillId="16" borderId="0" xfId="0" applyFill="1"/>
    <xf numFmtId="0" fontId="0" fillId="16" borderId="11" xfId="0" applyFill="1" applyBorder="1"/>
    <xf numFmtId="166" fontId="0" fillId="16" borderId="11" xfId="0" applyNumberFormat="1" applyFill="1" applyBorder="1" applyAlignment="1">
      <alignment horizontal="center"/>
    </xf>
    <xf numFmtId="167" fontId="0" fillId="16" borderId="4" xfId="0" applyNumberFormat="1" applyFill="1" applyBorder="1" applyAlignment="1">
      <alignment horizontal="center"/>
    </xf>
    <xf numFmtId="167" fontId="0" fillId="16" borderId="12" xfId="0" applyNumberFormat="1" applyFill="1" applyBorder="1" applyAlignment="1">
      <alignment horizontal="center"/>
    </xf>
    <xf numFmtId="9" fontId="0" fillId="16" borderId="11" xfId="0" applyNumberFormat="1" applyFill="1" applyBorder="1" applyAlignment="1">
      <alignment horizontal="center"/>
    </xf>
    <xf numFmtId="9" fontId="0" fillId="16" borderId="11" xfId="2" applyFont="1" applyFill="1" applyBorder="1" applyAlignment="1">
      <alignment horizontal="center"/>
    </xf>
    <xf numFmtId="9" fontId="0" fillId="16" borderId="3" xfId="2" applyFont="1" applyFill="1" applyBorder="1" applyAlignment="1">
      <alignment horizontal="center"/>
    </xf>
    <xf numFmtId="0" fontId="0" fillId="0" borderId="0" xfId="0" applyFill="1" applyBorder="1" applyAlignment="1">
      <alignment horizontal="center"/>
    </xf>
    <xf numFmtId="0" fontId="2" fillId="2" borderId="14" xfId="0" applyFont="1" applyFill="1" applyBorder="1" applyAlignment="1">
      <alignment vertical="center"/>
    </xf>
    <xf numFmtId="0" fontId="15" fillId="0" borderId="0" xfId="0" applyFont="1" applyFill="1" applyBorder="1" applyAlignment="1">
      <alignment vertical="center"/>
    </xf>
    <xf numFmtId="0" fontId="16" fillId="0" borderId="0" xfId="0" applyFont="1" applyFill="1" applyBorder="1" applyAlignment="1">
      <alignment horizontal="left" vertical="center"/>
    </xf>
    <xf numFmtId="165" fontId="4" fillId="0" borderId="0" xfId="0" applyNumberFormat="1" applyFont="1" applyFill="1" applyBorder="1" applyAlignment="1">
      <alignment horizontal="center"/>
    </xf>
    <xf numFmtId="2" fontId="0" fillId="0" borderId="0" xfId="0" quotePrefix="1" applyNumberFormat="1"/>
    <xf numFmtId="2" fontId="6" fillId="0" borderId="0" xfId="0" applyNumberFormat="1" applyFont="1" applyFill="1"/>
    <xf numFmtId="0" fontId="0" fillId="0" borderId="0" xfId="0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0" xfId="0" applyFill="1" applyBorder="1" applyAlignment="1">
      <alignment vertical="center" textRotation="90" wrapText="1"/>
    </xf>
    <xf numFmtId="0" fontId="4" fillId="0" borderId="0" xfId="0" applyFont="1" applyFill="1" applyBorder="1" applyAlignment="1"/>
    <xf numFmtId="0" fontId="16" fillId="0" borderId="0" xfId="0" applyFont="1" applyFill="1" applyBorder="1" applyAlignment="1"/>
    <xf numFmtId="0" fontId="0" fillId="0" borderId="0" xfId="0" applyFill="1" applyBorder="1" applyAlignment="1">
      <alignment horizontal="left" vertical="center" textRotation="91" wrapText="1"/>
    </xf>
    <xf numFmtId="10" fontId="16" fillId="0" borderId="14" xfId="0" applyNumberFormat="1" applyFont="1" applyFill="1" applyBorder="1" applyAlignment="1">
      <alignment horizontal="center"/>
    </xf>
    <xf numFmtId="10" fontId="16" fillId="0" borderId="2" xfId="0" applyNumberFormat="1" applyFont="1" applyFill="1" applyBorder="1" applyAlignment="1">
      <alignment horizontal="center"/>
    </xf>
    <xf numFmtId="9" fontId="4" fillId="0" borderId="6" xfId="0" applyNumberFormat="1" applyFont="1" applyFill="1" applyBorder="1" applyAlignment="1">
      <alignment horizontal="center"/>
    </xf>
    <xf numFmtId="9" fontId="0" fillId="0" borderId="8" xfId="0" applyNumberFormat="1" applyBorder="1" applyAlignment="1">
      <alignment horizontal="center"/>
    </xf>
    <xf numFmtId="9" fontId="16" fillId="0" borderId="1" xfId="0" applyNumberFormat="1" applyFont="1" applyFill="1" applyBorder="1" applyAlignment="1">
      <alignment horizontal="center"/>
    </xf>
    <xf numFmtId="9" fontId="4" fillId="0" borderId="1" xfId="0" applyNumberFormat="1" applyFont="1" applyFill="1" applyBorder="1" applyAlignment="1">
      <alignment horizontal="center"/>
    </xf>
    <xf numFmtId="9" fontId="0" fillId="0" borderId="14" xfId="0" applyNumberFormat="1" applyBorder="1" applyAlignment="1">
      <alignment horizontal="center"/>
    </xf>
    <xf numFmtId="9" fontId="0" fillId="0" borderId="13" xfId="0" applyNumberFormat="1" applyBorder="1" applyAlignment="1">
      <alignment horizontal="center"/>
    </xf>
    <xf numFmtId="0" fontId="0" fillId="0" borderId="0" xfId="0" applyFill="1" applyBorder="1" applyAlignment="1">
      <alignment horizontal="left" vertical="center"/>
    </xf>
    <xf numFmtId="9" fontId="0" fillId="17" borderId="0" xfId="0" applyNumberFormat="1" applyFill="1"/>
    <xf numFmtId="9" fontId="0" fillId="17" borderId="1" xfId="0" applyNumberFormat="1" applyFill="1" applyBorder="1"/>
    <xf numFmtId="0" fontId="0" fillId="0" borderId="2" xfId="0" applyBorder="1" applyAlignment="1">
      <alignment horizontal="center" vertical="center" wrapText="1"/>
    </xf>
    <xf numFmtId="2" fontId="0" fillId="0" borderId="3" xfId="0" applyNumberFormat="1" applyBorder="1" applyAlignment="1">
      <alignment horizontal="center" vertical="center" wrapText="1"/>
    </xf>
    <xf numFmtId="0" fontId="2" fillId="0" borderId="3" xfId="0" applyFont="1" applyBorder="1" applyAlignment="1">
      <alignment horizontal="center" vertical="center" wrapText="1"/>
    </xf>
    <xf numFmtId="167" fontId="0" fillId="0" borderId="3" xfId="0" applyNumberFormat="1" applyBorder="1" applyAlignment="1">
      <alignment horizontal="center" vertical="center" wrapText="1"/>
    </xf>
    <xf numFmtId="167" fontId="0" fillId="0" borderId="4" xfId="0" applyNumberFormat="1" applyBorder="1" applyAlignment="1">
      <alignment horizontal="center" vertical="center" wrapText="1"/>
    </xf>
    <xf numFmtId="0" fontId="0" fillId="0" borderId="3" xfId="0" applyFont="1" applyFill="1" applyBorder="1" applyAlignment="1">
      <alignment horizontal="center" vertical="center" wrapText="1"/>
    </xf>
    <xf numFmtId="1" fontId="0" fillId="0" borderId="3" xfId="0" applyNumberFormat="1" applyFont="1" applyBorder="1" applyAlignment="1">
      <alignment horizontal="center" vertical="center" wrapText="1"/>
    </xf>
    <xf numFmtId="0" fontId="0" fillId="0" borderId="4" xfId="0" applyFill="1" applyBorder="1" applyAlignment="1">
      <alignment horizontal="center" vertical="center" wrapText="1"/>
    </xf>
    <xf numFmtId="169" fontId="0" fillId="0" borderId="3" xfId="3" applyNumberFormat="1" applyFont="1" applyBorder="1" applyAlignment="1">
      <alignment horizontal="center" vertical="center" wrapText="1"/>
    </xf>
    <xf numFmtId="2" fontId="0" fillId="0" borderId="4" xfId="2" applyNumberFormat="1" applyFont="1" applyBorder="1" applyAlignment="1">
      <alignment horizontal="center" vertical="center" wrapText="1"/>
    </xf>
    <xf numFmtId="167" fontId="0" fillId="0" borderId="3" xfId="0" applyNumberFormat="1" applyFont="1" applyBorder="1" applyAlignment="1">
      <alignment horizontal="center" vertical="center" wrapText="1"/>
    </xf>
    <xf numFmtId="10" fontId="0" fillId="0" borderId="3" xfId="0" applyNumberFormat="1" applyFill="1" applyBorder="1" applyAlignment="1">
      <alignment horizontal="center" vertical="center" wrapText="1"/>
    </xf>
    <xf numFmtId="10" fontId="0" fillId="0" borderId="4" xfId="2" applyNumberFormat="1" applyFont="1" applyFill="1" applyBorder="1" applyAlignment="1">
      <alignment horizontal="center" vertical="center" wrapText="1"/>
    </xf>
    <xf numFmtId="2" fontId="0" fillId="0" borderId="4" xfId="0" applyNumberFormat="1" applyFill="1" applyBorder="1" applyAlignment="1">
      <alignment horizontal="center" vertical="center" wrapText="1"/>
    </xf>
    <xf numFmtId="2" fontId="0" fillId="0" borderId="3" xfId="0" applyNumberFormat="1" applyFill="1" applyBorder="1" applyAlignment="1">
      <alignment horizontal="center" vertical="center" wrapText="1"/>
    </xf>
    <xf numFmtId="9" fontId="0" fillId="0" borderId="3" xfId="0" applyNumberFormat="1" applyFont="1" applyBorder="1" applyAlignment="1">
      <alignment horizontal="center" vertical="center" wrapText="1"/>
    </xf>
    <xf numFmtId="9" fontId="0" fillId="0" borderId="4" xfId="0" applyNumberFormat="1" applyFont="1" applyBorder="1" applyAlignment="1">
      <alignment horizontal="center" vertical="center" wrapText="1"/>
    </xf>
    <xf numFmtId="0" fontId="0" fillId="0" borderId="4" xfId="0" applyFont="1" applyFill="1" applyBorder="1" applyAlignment="1">
      <alignment horizontal="center" vertical="center" wrapText="1"/>
    </xf>
    <xf numFmtId="165" fontId="0" fillId="0" borderId="3" xfId="0" applyNumberFormat="1" applyFont="1" applyFill="1" applyBorder="1" applyAlignment="1">
      <alignment horizontal="center" vertical="center" wrapText="1"/>
    </xf>
    <xf numFmtId="2" fontId="0" fillId="0" borderId="4" xfId="0" applyNumberFormat="1" applyFont="1" applyFill="1" applyBorder="1" applyAlignment="1">
      <alignment horizontal="center" vertical="center" wrapText="1"/>
    </xf>
    <xf numFmtId="169" fontId="0" fillId="0" borderId="3" xfId="3" applyNumberFormat="1" applyFont="1" applyFill="1" applyBorder="1" applyAlignment="1">
      <alignment horizontal="center" vertical="center" wrapText="1"/>
    </xf>
    <xf numFmtId="10" fontId="0" fillId="0" borderId="3" xfId="0" applyNumberFormat="1" applyFont="1" applyBorder="1" applyAlignment="1">
      <alignment horizontal="center" vertical="center" wrapText="1"/>
    </xf>
    <xf numFmtId="2" fontId="0" fillId="0" borderId="3" xfId="0" applyNumberFormat="1" applyFont="1" applyFill="1" applyBorder="1" applyAlignment="1">
      <alignment horizontal="center" vertical="center" wrapText="1"/>
    </xf>
    <xf numFmtId="167" fontId="0" fillId="7" borderId="3" xfId="0" applyNumberFormat="1" applyFont="1" applyFill="1" applyBorder="1" applyAlignment="1">
      <alignment horizontal="center" vertical="center" wrapText="1"/>
    </xf>
    <xf numFmtId="167" fontId="0" fillId="7" borderId="4" xfId="0" applyNumberFormat="1" applyFont="1" applyFill="1" applyBorder="1" applyAlignment="1">
      <alignment horizontal="center" vertical="center" wrapText="1"/>
    </xf>
    <xf numFmtId="167" fontId="0" fillId="0" borderId="3" xfId="0" applyNumberFormat="1" applyFont="1" applyFill="1" applyBorder="1" applyAlignment="1">
      <alignment horizontal="center" vertical="center" wrapText="1"/>
    </xf>
    <xf numFmtId="167" fontId="0" fillId="0" borderId="4" xfId="0" applyNumberFormat="1" applyFont="1" applyFill="1" applyBorder="1" applyAlignment="1">
      <alignment horizontal="center" vertical="center" wrapText="1"/>
    </xf>
    <xf numFmtId="164" fontId="0" fillId="0" borderId="4" xfId="3" applyFont="1" applyBorder="1" applyAlignment="1">
      <alignment horizontal="center"/>
    </xf>
    <xf numFmtId="1" fontId="0" fillId="0" borderId="3" xfId="0" applyNumberFormat="1" applyFont="1" applyFill="1" applyBorder="1" applyAlignment="1">
      <alignment horizontal="center" vertical="center" wrapText="1"/>
    </xf>
    <xf numFmtId="9" fontId="0" fillId="0" borderId="4" xfId="2" applyNumberFormat="1" applyFont="1" applyBorder="1" applyAlignment="1">
      <alignment horizontal="center" vertical="center" wrapText="1"/>
    </xf>
    <xf numFmtId="9" fontId="0" fillId="0" borderId="1" xfId="0" applyNumberFormat="1" applyBorder="1" applyAlignment="1">
      <alignment horizontal="center" vertical="center" wrapText="1"/>
    </xf>
    <xf numFmtId="9" fontId="0" fillId="0" borderId="4" xfId="0" applyNumberFormat="1" applyBorder="1" applyAlignment="1">
      <alignment horizontal="center" vertical="center" wrapText="1"/>
    </xf>
    <xf numFmtId="165" fontId="0" fillId="0" borderId="6" xfId="0" applyNumberFormat="1" applyFill="1" applyBorder="1" applyAlignment="1">
      <alignment horizontal="center"/>
    </xf>
    <xf numFmtId="2" fontId="0" fillId="0" borderId="9" xfId="0" applyNumberFormat="1" applyFill="1" applyBorder="1" applyAlignment="1">
      <alignment horizontal="center"/>
    </xf>
    <xf numFmtId="2" fontId="0" fillId="0" borderId="11" xfId="0" applyNumberFormat="1" applyFill="1" applyBorder="1" applyAlignment="1">
      <alignment horizontal="center"/>
    </xf>
    <xf numFmtId="170" fontId="4" fillId="0" borderId="6" xfId="3" applyNumberFormat="1" applyFont="1" applyFill="1" applyBorder="1" applyAlignment="1">
      <alignment horizontal="center"/>
    </xf>
    <xf numFmtId="170" fontId="4" fillId="0" borderId="5" xfId="3" applyNumberFormat="1" applyFont="1" applyFill="1" applyBorder="1" applyAlignment="1">
      <alignment horizontal="center"/>
    </xf>
    <xf numFmtId="2" fontId="0" fillId="14" borderId="1" xfId="0" applyNumberFormat="1" applyFill="1" applyBorder="1" applyAlignment="1">
      <alignment horizontal="center"/>
    </xf>
    <xf numFmtId="2" fontId="0" fillId="14" borderId="1" xfId="3" applyNumberFormat="1" applyFont="1" applyFill="1" applyBorder="1" applyAlignment="1">
      <alignment horizontal="center"/>
    </xf>
    <xf numFmtId="2" fontId="0" fillId="14" borderId="1" xfId="3" applyNumberFormat="1" applyFont="1" applyFill="1" applyBorder="1" applyAlignment="1">
      <alignment horizontal="center" vertical="center" wrapText="1"/>
    </xf>
    <xf numFmtId="0" fontId="0" fillId="0" borderId="14" xfId="0" applyBorder="1" applyAlignment="1">
      <alignment horizontal="center"/>
    </xf>
    <xf numFmtId="0" fontId="0" fillId="0" borderId="2" xfId="0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0" fillId="0" borderId="0" xfId="0" applyAlignment="1">
      <alignment horizontal="center"/>
    </xf>
    <xf numFmtId="0" fontId="0" fillId="0" borderId="14" xfId="0" quotePrefix="1" applyBorder="1"/>
    <xf numFmtId="0" fontId="0" fillId="0" borderId="0" xfId="0" applyBorder="1" applyAlignment="1">
      <alignment horizontal="center"/>
    </xf>
    <xf numFmtId="165" fontId="0" fillId="0" borderId="6" xfId="0" applyNumberFormat="1" applyBorder="1" applyAlignment="1">
      <alignment horizontal="center"/>
    </xf>
    <xf numFmtId="9" fontId="0" fillId="0" borderId="5" xfId="0" quotePrefix="1" applyNumberFormat="1" applyBorder="1"/>
    <xf numFmtId="9" fontId="0" fillId="0" borderId="15" xfId="0" quotePrefix="1" applyNumberFormat="1" applyBorder="1"/>
    <xf numFmtId="9" fontId="0" fillId="0" borderId="3" xfId="0" quotePrefix="1" applyNumberFormat="1" applyBorder="1"/>
    <xf numFmtId="0" fontId="7" fillId="0" borderId="6" xfId="0" applyFont="1" applyBorder="1"/>
    <xf numFmtId="9" fontId="0" fillId="0" borderId="7" xfId="2" applyNumberFormat="1" applyFont="1" applyBorder="1" applyAlignment="1">
      <alignment horizontal="center"/>
    </xf>
    <xf numFmtId="9" fontId="0" fillId="0" borderId="5" xfId="2" applyNumberFormat="1" applyFont="1" applyBorder="1" applyAlignment="1">
      <alignment horizontal="center"/>
    </xf>
    <xf numFmtId="9" fontId="0" fillId="0" borderId="8" xfId="2" applyNumberFormat="1" applyFont="1" applyBorder="1" applyAlignment="1">
      <alignment horizontal="center"/>
    </xf>
    <xf numFmtId="2" fontId="0" fillId="0" borderId="14" xfId="0" applyNumberFormat="1" applyBorder="1"/>
    <xf numFmtId="1" fontId="0" fillId="9" borderId="0" xfId="0" applyNumberFormat="1" applyFill="1" applyBorder="1" applyAlignment="1">
      <alignment horizontal="center"/>
    </xf>
    <xf numFmtId="0" fontId="0" fillId="9" borderId="1" xfId="0" applyFill="1" applyBorder="1" applyAlignment="1">
      <alignment horizontal="center"/>
    </xf>
    <xf numFmtId="1" fontId="0" fillId="9" borderId="15" xfId="0" applyNumberFormat="1" applyFill="1" applyBorder="1" applyAlignment="1">
      <alignment horizontal="center"/>
    </xf>
    <xf numFmtId="0" fontId="2" fillId="0" borderId="13" xfId="0" applyFont="1" applyFill="1" applyBorder="1" applyAlignment="1">
      <alignment horizontal="center"/>
    </xf>
    <xf numFmtId="0" fontId="0" fillId="9" borderId="7" xfId="0" applyFill="1" applyBorder="1" applyAlignment="1">
      <alignment horizontal="center"/>
    </xf>
    <xf numFmtId="9" fontId="0" fillId="13" borderId="15" xfId="0" applyNumberFormat="1" applyFill="1" applyBorder="1"/>
    <xf numFmtId="9" fontId="0" fillId="0" borderId="15" xfId="0" applyNumberFormat="1" applyFill="1" applyBorder="1"/>
    <xf numFmtId="9" fontId="0" fillId="6" borderId="15" xfId="0" applyNumberFormat="1" applyFill="1" applyBorder="1"/>
    <xf numFmtId="9" fontId="0" fillId="6" borderId="15" xfId="2" applyNumberFormat="1" applyFont="1" applyFill="1" applyBorder="1"/>
    <xf numFmtId="0" fontId="0" fillId="13" borderId="15" xfId="0" applyFill="1" applyBorder="1"/>
    <xf numFmtId="1" fontId="13" fillId="15" borderId="15" xfId="0" applyNumberFormat="1" applyFont="1" applyFill="1" applyBorder="1"/>
    <xf numFmtId="9" fontId="0" fillId="11" borderId="15" xfId="0" applyNumberFormat="1" applyFill="1" applyBorder="1"/>
    <xf numFmtId="0" fontId="13" fillId="15" borderId="15" xfId="0" applyFont="1" applyFill="1" applyBorder="1"/>
    <xf numFmtId="164" fontId="0" fillId="0" borderId="15" xfId="0" applyNumberFormat="1" applyFill="1" applyBorder="1"/>
    <xf numFmtId="9" fontId="0" fillId="17" borderId="15" xfId="0" applyNumberFormat="1" applyFill="1" applyBorder="1"/>
    <xf numFmtId="0" fontId="16" fillId="0" borderId="0" xfId="0" applyFont="1" applyBorder="1" applyAlignment="1">
      <alignment horizontal="center" vertical="center"/>
    </xf>
    <xf numFmtId="167" fontId="0" fillId="0" borderId="3" xfId="3" applyNumberFormat="1" applyFont="1" applyBorder="1" applyAlignment="1">
      <alignment horizontal="center" vertical="center" wrapText="1"/>
    </xf>
    <xf numFmtId="9" fontId="13" fillId="15" borderId="15" xfId="0" applyNumberFormat="1" applyFont="1" applyFill="1" applyBorder="1"/>
    <xf numFmtId="0" fontId="7" fillId="2" borderId="0" xfId="0" applyFont="1" applyFill="1" applyBorder="1"/>
    <xf numFmtId="0" fontId="0" fillId="2" borderId="0" xfId="0" applyFill="1" applyBorder="1"/>
    <xf numFmtId="167" fontId="0" fillId="0" borderId="4" xfId="3" applyNumberFormat="1" applyFont="1" applyBorder="1" applyAlignment="1">
      <alignment horizontal="center" vertical="center" wrapText="1"/>
    </xf>
    <xf numFmtId="168" fontId="0" fillId="0" borderId="3" xfId="3" applyNumberFormat="1" applyFont="1" applyBorder="1" applyAlignment="1">
      <alignment horizontal="center" vertical="center" wrapText="1"/>
    </xf>
    <xf numFmtId="168" fontId="0" fillId="0" borderId="4" xfId="0" applyNumberFormat="1" applyBorder="1" applyAlignment="1">
      <alignment horizontal="center" vertical="center" wrapText="1"/>
    </xf>
    <xf numFmtId="171" fontId="0" fillId="0" borderId="3" xfId="3" applyNumberFormat="1" applyFont="1" applyBorder="1" applyAlignment="1">
      <alignment horizontal="center" vertical="center" wrapText="1"/>
    </xf>
    <xf numFmtId="0" fontId="6" fillId="0" borderId="5" xfId="0" applyFont="1" applyBorder="1" applyAlignment="1">
      <alignment horizontal="left"/>
    </xf>
    <xf numFmtId="0" fontId="6" fillId="0" borderId="15" xfId="0" applyFont="1" applyBorder="1" applyAlignment="1">
      <alignment horizontal="left"/>
    </xf>
    <xf numFmtId="0" fontId="6" fillId="0" borderId="3" xfId="0" applyFont="1" applyBorder="1" applyAlignment="1">
      <alignment horizontal="left"/>
    </xf>
    <xf numFmtId="0" fontId="0" fillId="0" borderId="0" xfId="0" applyAlignment="1">
      <alignment horizontal="left"/>
    </xf>
    <xf numFmtId="168" fontId="0" fillId="0" borderId="3" xfId="0" applyNumberFormat="1" applyBorder="1" applyAlignment="1">
      <alignment horizontal="center" vertical="center" wrapText="1"/>
    </xf>
    <xf numFmtId="168" fontId="0" fillId="0" borderId="4" xfId="2" applyNumberFormat="1" applyFont="1" applyBorder="1" applyAlignment="1">
      <alignment horizontal="center" vertical="center" wrapText="1"/>
    </xf>
    <xf numFmtId="0" fontId="4" fillId="0" borderId="1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16" fillId="0" borderId="13" xfId="0" applyFont="1" applyBorder="1" applyAlignment="1">
      <alignment horizontal="center"/>
    </xf>
    <xf numFmtId="2" fontId="0" fillId="0" borderId="0" xfId="0" applyNumberFormat="1" applyAlignment="1">
      <alignment horizontal="center"/>
    </xf>
    <xf numFmtId="0" fontId="4" fillId="0" borderId="2" xfId="0" applyFont="1" applyBorder="1" applyAlignment="1"/>
    <xf numFmtId="0" fontId="4" fillId="0" borderId="14" xfId="0" applyFont="1" applyFill="1" applyBorder="1" applyAlignment="1">
      <alignment horizontal="center"/>
    </xf>
    <xf numFmtId="0" fontId="4" fillId="0" borderId="2" xfId="0" applyFont="1" applyFill="1" applyBorder="1" applyAlignment="1">
      <alignment horizontal="center"/>
    </xf>
    <xf numFmtId="1" fontId="4" fillId="0" borderId="0" xfId="0" applyNumberFormat="1" applyFont="1" applyBorder="1" applyAlignment="1">
      <alignment horizontal="center"/>
    </xf>
    <xf numFmtId="0" fontId="0" fillId="2" borderId="13" xfId="0" applyFill="1" applyBorder="1" applyAlignment="1">
      <alignment horizontal="center"/>
    </xf>
    <xf numFmtId="0" fontId="0" fillId="2" borderId="2" xfId="0" applyFill="1" applyBorder="1" applyAlignment="1">
      <alignment horizontal="center"/>
    </xf>
    <xf numFmtId="0" fontId="25" fillId="0" borderId="0" xfId="4"/>
    <xf numFmtId="0" fontId="0" fillId="19" borderId="5" xfId="0" applyFill="1" applyBorder="1" applyAlignment="1">
      <alignment horizontal="center"/>
    </xf>
    <xf numFmtId="0" fontId="0" fillId="19" borderId="15" xfId="0" applyFill="1" applyBorder="1" applyAlignment="1">
      <alignment horizontal="center"/>
    </xf>
    <xf numFmtId="0" fontId="0" fillId="19" borderId="3" xfId="0" applyFill="1" applyBorder="1" applyAlignment="1">
      <alignment horizontal="center"/>
    </xf>
    <xf numFmtId="0" fontId="15" fillId="2" borderId="1" xfId="0" applyFont="1" applyFill="1" applyBorder="1" applyAlignment="1">
      <alignment horizontal="left" vertical="center"/>
    </xf>
    <xf numFmtId="0" fontId="4" fillId="2" borderId="1" xfId="0" applyFont="1" applyFill="1" applyBorder="1" applyAlignment="1"/>
    <xf numFmtId="0" fontId="0" fillId="2" borderId="14" xfId="0" applyFill="1" applyBorder="1" applyAlignment="1"/>
    <xf numFmtId="0" fontId="0" fillId="2" borderId="2" xfId="0" applyFill="1" applyBorder="1" applyAlignment="1"/>
    <xf numFmtId="0" fontId="0" fillId="19" borderId="1" xfId="0" applyFill="1" applyBorder="1" applyAlignment="1">
      <alignment horizontal="center"/>
    </xf>
    <xf numFmtId="0" fontId="2" fillId="0" borderId="14" xfId="0" applyFont="1" applyFill="1" applyBorder="1"/>
    <xf numFmtId="0" fontId="0" fillId="0" borderId="2" xfId="0" applyFill="1" applyBorder="1"/>
    <xf numFmtId="0" fontId="0" fillId="2" borderId="14" xfId="0" applyFill="1" applyBorder="1" applyAlignment="1">
      <alignment horizontal="center"/>
    </xf>
    <xf numFmtId="166" fontId="0" fillId="19" borderId="3" xfId="0" applyNumberFormat="1" applyFill="1" applyBorder="1" applyAlignment="1">
      <alignment horizontal="center"/>
    </xf>
    <xf numFmtId="0" fontId="26" fillId="0" borderId="0" xfId="0" applyFont="1" applyFill="1" applyBorder="1" applyAlignment="1">
      <alignment wrapText="1"/>
    </xf>
    <xf numFmtId="0" fontId="27" fillId="0" borderId="0" xfId="0" applyFont="1" applyFill="1" applyBorder="1" applyAlignment="1">
      <alignment wrapText="1"/>
    </xf>
    <xf numFmtId="0" fontId="0" fillId="0" borderId="1" xfId="0" quotePrefix="1" applyBorder="1"/>
    <xf numFmtId="0" fontId="26" fillId="0" borderId="0" xfId="0" applyFont="1" applyBorder="1" applyAlignment="1">
      <alignment wrapText="1"/>
    </xf>
    <xf numFmtId="0" fontId="29" fillId="12" borderId="1" xfId="0" applyFont="1" applyFill="1" applyBorder="1" applyAlignment="1">
      <alignment wrapText="1"/>
    </xf>
    <xf numFmtId="0" fontId="26" fillId="0" borderId="14" xfId="0" applyFont="1" applyBorder="1" applyAlignment="1">
      <alignment wrapText="1"/>
    </xf>
    <xf numFmtId="0" fontId="29" fillId="12" borderId="14" xfId="0" applyFont="1" applyFill="1" applyBorder="1" applyAlignment="1">
      <alignment wrapText="1"/>
    </xf>
    <xf numFmtId="0" fontId="29" fillId="12" borderId="6" xfId="0" applyFont="1" applyFill="1" applyBorder="1" applyAlignment="1">
      <alignment wrapText="1"/>
    </xf>
    <xf numFmtId="0" fontId="27" fillId="0" borderId="23" xfId="0" applyFont="1" applyFill="1" applyBorder="1" applyAlignment="1">
      <alignment wrapText="1"/>
    </xf>
    <xf numFmtId="0" fontId="27" fillId="0" borderId="26" xfId="0" applyFont="1" applyFill="1" applyBorder="1" applyAlignment="1">
      <alignment wrapText="1"/>
    </xf>
    <xf numFmtId="0" fontId="27" fillId="0" borderId="28" xfId="0" applyFont="1" applyFill="1" applyBorder="1" applyAlignment="1">
      <alignment wrapText="1"/>
    </xf>
    <xf numFmtId="0" fontId="27" fillId="0" borderId="31" xfId="0" applyFont="1" applyFill="1" applyBorder="1" applyAlignment="1">
      <alignment wrapText="1"/>
    </xf>
    <xf numFmtId="0" fontId="27" fillId="0" borderId="32" xfId="0" applyFont="1" applyFill="1" applyBorder="1" applyAlignment="1">
      <alignment wrapText="1"/>
    </xf>
    <xf numFmtId="0" fontId="27" fillId="0" borderId="33" xfId="0" applyFont="1" applyFill="1" applyBorder="1" applyAlignment="1">
      <alignment wrapText="1"/>
    </xf>
    <xf numFmtId="0" fontId="27" fillId="0" borderId="21" xfId="0" applyFont="1" applyFill="1" applyBorder="1" applyAlignment="1">
      <alignment wrapText="1"/>
    </xf>
    <xf numFmtId="0" fontId="29" fillId="12" borderId="5" xfId="0" applyFont="1" applyFill="1" applyBorder="1" applyAlignment="1">
      <alignment wrapText="1"/>
    </xf>
    <xf numFmtId="0" fontId="26" fillId="21" borderId="19" xfId="0" applyFont="1" applyFill="1" applyBorder="1" applyAlignment="1">
      <alignment horizontal="center" wrapText="1"/>
    </xf>
    <xf numFmtId="0" fontId="26" fillId="20" borderId="20" xfId="0" applyFont="1" applyFill="1" applyBorder="1" applyAlignment="1">
      <alignment horizontal="center" wrapText="1"/>
    </xf>
    <xf numFmtId="0" fontId="26" fillId="0" borderId="18" xfId="0" applyFont="1" applyFill="1" applyBorder="1" applyAlignment="1">
      <alignment horizontal="center" wrapText="1"/>
    </xf>
    <xf numFmtId="0" fontId="27" fillId="0" borderId="22" xfId="0" applyFont="1" applyFill="1" applyBorder="1" applyAlignment="1">
      <alignment horizontal="center" wrapText="1"/>
    </xf>
    <xf numFmtId="0" fontId="27" fillId="0" borderId="17" xfId="0" applyFont="1" applyFill="1" applyBorder="1" applyAlignment="1">
      <alignment horizontal="center" wrapText="1"/>
    </xf>
    <xf numFmtId="0" fontId="27" fillId="21" borderId="24" xfId="0" applyFont="1" applyFill="1" applyBorder="1" applyAlignment="1">
      <alignment horizontal="center" wrapText="1"/>
    </xf>
    <xf numFmtId="0" fontId="27" fillId="20" borderId="25" xfId="0" applyFont="1" applyFill="1" applyBorder="1" applyAlignment="1">
      <alignment horizontal="center" wrapText="1"/>
    </xf>
    <xf numFmtId="0" fontId="27" fillId="21" borderId="16" xfId="0" applyFont="1" applyFill="1" applyBorder="1" applyAlignment="1">
      <alignment horizontal="center" wrapText="1"/>
    </xf>
    <xf numFmtId="0" fontId="27" fillId="20" borderId="27" xfId="0" applyFont="1" applyFill="1" applyBorder="1" applyAlignment="1">
      <alignment horizontal="center" wrapText="1"/>
    </xf>
    <xf numFmtId="0" fontId="27" fillId="21" borderId="29" xfId="0" applyFont="1" applyFill="1" applyBorder="1" applyAlignment="1">
      <alignment horizontal="center" wrapText="1"/>
    </xf>
    <xf numFmtId="0" fontId="27" fillId="20" borderId="30" xfId="0" applyFont="1" applyFill="1" applyBorder="1" applyAlignment="1">
      <alignment horizontal="center" wrapText="1"/>
    </xf>
    <xf numFmtId="0" fontId="27" fillId="0" borderId="18" xfId="0" applyFont="1" applyFill="1" applyBorder="1" applyAlignment="1">
      <alignment horizontal="center" wrapText="1"/>
    </xf>
    <xf numFmtId="0" fontId="27" fillId="23" borderId="36" xfId="0" applyFont="1" applyFill="1" applyBorder="1" applyAlignment="1">
      <alignment horizontal="center" wrapText="1"/>
    </xf>
    <xf numFmtId="0" fontId="27" fillId="23" borderId="37" xfId="0" applyFont="1" applyFill="1" applyBorder="1" applyAlignment="1">
      <alignment horizontal="center" wrapText="1"/>
    </xf>
    <xf numFmtId="0" fontId="27" fillId="23" borderId="38" xfId="0" applyFont="1" applyFill="1" applyBorder="1" applyAlignment="1">
      <alignment horizontal="center" wrapText="1"/>
    </xf>
    <xf numFmtId="0" fontId="27" fillId="0" borderId="34" xfId="0" applyFont="1" applyFill="1" applyBorder="1" applyAlignment="1">
      <alignment horizontal="center" wrapText="1"/>
    </xf>
    <xf numFmtId="9" fontId="27" fillId="20" borderId="25" xfId="0" applyNumberFormat="1" applyFont="1" applyFill="1" applyBorder="1" applyAlignment="1">
      <alignment horizontal="center" wrapText="1"/>
    </xf>
    <xf numFmtId="9" fontId="28" fillId="20" borderId="30" xfId="0" applyNumberFormat="1" applyFont="1" applyFill="1" applyBorder="1" applyAlignment="1">
      <alignment horizontal="center" wrapText="1"/>
    </xf>
    <xf numFmtId="9" fontId="27" fillId="20" borderId="30" xfId="0" applyNumberFormat="1" applyFont="1" applyFill="1" applyBorder="1" applyAlignment="1">
      <alignment horizontal="center" wrapText="1"/>
    </xf>
    <xf numFmtId="0" fontId="0" fillId="0" borderId="7" xfId="0" quotePrefix="1" applyBorder="1"/>
    <xf numFmtId="0" fontId="0" fillId="0" borderId="0" xfId="0" quotePrefix="1" applyBorder="1"/>
    <xf numFmtId="0" fontId="26" fillId="22" borderId="39" xfId="0" applyFont="1" applyFill="1" applyBorder="1" applyAlignment="1">
      <alignment horizontal="center" wrapText="1"/>
    </xf>
    <xf numFmtId="0" fontId="26" fillId="0" borderId="40" xfId="0" applyFont="1" applyFill="1" applyBorder="1" applyAlignment="1">
      <alignment horizontal="center" wrapText="1"/>
    </xf>
    <xf numFmtId="0" fontId="26" fillId="0" borderId="41" xfId="0" applyFont="1" applyFill="1" applyBorder="1" applyAlignment="1">
      <alignment horizontal="center" wrapText="1"/>
    </xf>
    <xf numFmtId="0" fontId="27" fillId="0" borderId="42" xfId="0" applyFont="1" applyFill="1" applyBorder="1" applyAlignment="1">
      <alignment horizontal="center" wrapText="1"/>
    </xf>
    <xf numFmtId="0" fontId="27" fillId="0" borderId="35" xfId="0" applyFont="1" applyFill="1" applyBorder="1" applyAlignment="1">
      <alignment horizontal="center" wrapText="1"/>
    </xf>
    <xf numFmtId="0" fontId="27" fillId="0" borderId="40" xfId="0" applyFont="1" applyFill="1" applyBorder="1" applyAlignment="1">
      <alignment horizontal="center" wrapText="1"/>
    </xf>
    <xf numFmtId="0" fontId="27" fillId="0" borderId="41" xfId="0" applyFont="1" applyFill="1" applyBorder="1" applyAlignment="1">
      <alignment horizontal="center" wrapText="1"/>
    </xf>
    <xf numFmtId="0" fontId="27" fillId="0" borderId="9" xfId="0" applyFont="1" applyFill="1" applyBorder="1" applyAlignment="1">
      <alignment horizontal="center" wrapText="1"/>
    </xf>
    <xf numFmtId="0" fontId="27" fillId="0" borderId="43" xfId="0" applyFont="1" applyFill="1" applyBorder="1" applyAlignment="1">
      <alignment horizontal="center" wrapText="1"/>
    </xf>
    <xf numFmtId="0" fontId="27" fillId="0" borderId="44" xfId="0" applyFont="1" applyFill="1" applyBorder="1" applyAlignment="1">
      <alignment horizontal="center" wrapText="1"/>
    </xf>
    <xf numFmtId="9" fontId="27" fillId="23" borderId="38" xfId="0" applyNumberFormat="1" applyFont="1" applyFill="1" applyBorder="1" applyAlignment="1">
      <alignment horizontal="center" wrapText="1"/>
    </xf>
    <xf numFmtId="9" fontId="27" fillId="23" borderId="38" xfId="2" applyFont="1" applyFill="1" applyBorder="1" applyAlignment="1">
      <alignment horizontal="center" wrapText="1"/>
    </xf>
    <xf numFmtId="9" fontId="27" fillId="0" borderId="43" xfId="2" applyFont="1" applyFill="1" applyBorder="1" applyAlignment="1">
      <alignment horizontal="center" wrapText="1"/>
    </xf>
    <xf numFmtId="9" fontId="28" fillId="0" borderId="44" xfId="0" applyNumberFormat="1" applyFont="1" applyFill="1" applyBorder="1" applyAlignment="1">
      <alignment horizontal="center" wrapText="1"/>
    </xf>
    <xf numFmtId="9" fontId="27" fillId="0" borderId="42" xfId="2" applyFont="1" applyFill="1" applyBorder="1" applyAlignment="1">
      <alignment horizontal="center" wrapText="1"/>
    </xf>
    <xf numFmtId="9" fontId="28" fillId="0" borderId="35" xfId="0" applyNumberFormat="1" applyFont="1" applyFill="1" applyBorder="1" applyAlignment="1">
      <alignment horizontal="center" wrapText="1"/>
    </xf>
    <xf numFmtId="9" fontId="27" fillId="23" borderId="36" xfId="0" applyNumberFormat="1" applyFont="1" applyFill="1" applyBorder="1" applyAlignment="1">
      <alignment horizontal="center" wrapText="1"/>
    </xf>
    <xf numFmtId="0" fontId="26" fillId="2" borderId="1" xfId="0" applyFont="1" applyFill="1" applyBorder="1" applyAlignment="1">
      <alignment wrapText="1"/>
    </xf>
    <xf numFmtId="0" fontId="0" fillId="2" borderId="3" xfId="0" applyFill="1" applyBorder="1" applyAlignment="1">
      <alignment horizontal="center"/>
    </xf>
    <xf numFmtId="0" fontId="0" fillId="2" borderId="5" xfId="0" applyFill="1" applyBorder="1" applyAlignment="1">
      <alignment horizontal="center"/>
    </xf>
    <xf numFmtId="0" fontId="24" fillId="18" borderId="2" xfId="0" applyFont="1" applyFill="1" applyBorder="1"/>
    <xf numFmtId="0" fontId="0" fillId="24" borderId="0" xfId="0" applyFill="1"/>
    <xf numFmtId="0" fontId="2" fillId="19" borderId="1" xfId="0" applyFont="1" applyFill="1" applyBorder="1"/>
    <xf numFmtId="0" fontId="0" fillId="25" borderId="6" xfId="0" applyFill="1" applyBorder="1"/>
    <xf numFmtId="0" fontId="0" fillId="25" borderId="7" xfId="0" applyFill="1" applyBorder="1"/>
    <xf numFmtId="0" fontId="0" fillId="25" borderId="8" xfId="0" applyFill="1" applyBorder="1"/>
    <xf numFmtId="0" fontId="0" fillId="25" borderId="11" xfId="0" applyFill="1" applyBorder="1"/>
    <xf numFmtId="0" fontId="0" fillId="25" borderId="12" xfId="0" applyFill="1" applyBorder="1"/>
    <xf numFmtId="0" fontId="0" fillId="25" borderId="4" xfId="0" applyFill="1" applyBorder="1"/>
    <xf numFmtId="0" fontId="24" fillId="0" borderId="0" xfId="0" applyFont="1" applyFill="1" applyBorder="1"/>
    <xf numFmtId="0" fontId="2" fillId="0" borderId="0" xfId="0" applyFont="1" applyFill="1"/>
    <xf numFmtId="0" fontId="0" fillId="0" borderId="0" xfId="0" applyFill="1" applyBorder="1" applyAlignment="1">
      <alignment horizontal="center"/>
    </xf>
    <xf numFmtId="2" fontId="0" fillId="0" borderId="7" xfId="0" applyNumberFormat="1" applyFill="1" applyBorder="1" applyAlignment="1">
      <alignment horizontal="center"/>
    </xf>
    <xf numFmtId="2" fontId="0" fillId="0" borderId="0" xfId="0" applyNumberFormat="1" applyBorder="1" applyAlignment="1">
      <alignment horizontal="center" vertical="center"/>
    </xf>
    <xf numFmtId="0" fontId="0" fillId="0" borderId="0" xfId="0" applyFill="1" applyBorder="1" applyAlignment="1"/>
    <xf numFmtId="1" fontId="0" fillId="2" borderId="14" xfId="0" applyNumberFormat="1" applyFill="1" applyBorder="1" applyAlignment="1">
      <alignment horizontal="center"/>
    </xf>
    <xf numFmtId="1" fontId="0" fillId="2" borderId="13" xfId="0" applyNumberFormat="1" applyFill="1" applyBorder="1" applyAlignment="1">
      <alignment horizontal="center"/>
    </xf>
    <xf numFmtId="1" fontId="0" fillId="2" borderId="2" xfId="0" applyNumberFormat="1" applyFill="1" applyBorder="1" applyAlignment="1">
      <alignment horizontal="center"/>
    </xf>
    <xf numFmtId="0" fontId="29" fillId="2" borderId="1" xfId="0" applyFont="1" applyFill="1" applyBorder="1" applyAlignment="1">
      <alignment wrapText="1"/>
    </xf>
    <xf numFmtId="1" fontId="2" fillId="2" borderId="14" xfId="0" applyNumberFormat="1" applyFont="1" applyFill="1" applyBorder="1" applyAlignment="1">
      <alignment horizontal="center"/>
    </xf>
    <xf numFmtId="1" fontId="2" fillId="2" borderId="13" xfId="0" applyNumberFormat="1" applyFont="1" applyFill="1" applyBorder="1" applyAlignment="1">
      <alignment horizontal="center"/>
    </xf>
    <xf numFmtId="1" fontId="2" fillId="2" borderId="2" xfId="0" applyNumberFormat="1" applyFont="1" applyFill="1" applyBorder="1" applyAlignment="1">
      <alignment horizontal="center"/>
    </xf>
    <xf numFmtId="0" fontId="27" fillId="0" borderId="45" xfId="0" applyFont="1" applyFill="1" applyBorder="1" applyAlignment="1">
      <alignment wrapText="1"/>
    </xf>
    <xf numFmtId="0" fontId="27" fillId="23" borderId="42" xfId="0" applyFont="1" applyFill="1" applyBorder="1" applyAlignment="1">
      <alignment horizontal="center" wrapText="1"/>
    </xf>
    <xf numFmtId="0" fontId="27" fillId="21" borderId="17" xfId="0" applyFont="1" applyFill="1" applyBorder="1" applyAlignment="1">
      <alignment horizontal="center" wrapText="1"/>
    </xf>
    <xf numFmtId="0" fontId="27" fillId="20" borderId="35" xfId="0" applyFont="1" applyFill="1" applyBorder="1" applyAlignment="1">
      <alignment horizontal="center" wrapText="1"/>
    </xf>
    <xf numFmtId="9" fontId="27" fillId="23" borderId="36" xfId="2" applyFont="1" applyFill="1" applyBorder="1" applyAlignment="1">
      <alignment horizontal="center" wrapText="1"/>
    </xf>
    <xf numFmtId="9" fontId="27" fillId="21" borderId="24" xfId="2" applyFont="1" applyFill="1" applyBorder="1" applyAlignment="1">
      <alignment horizontal="center" wrapText="1"/>
    </xf>
    <xf numFmtId="9" fontId="27" fillId="20" borderId="25" xfId="2" applyFont="1" applyFill="1" applyBorder="1" applyAlignment="1">
      <alignment horizontal="center" wrapText="1"/>
    </xf>
    <xf numFmtId="9" fontId="27" fillId="21" borderId="29" xfId="2" applyFont="1" applyFill="1" applyBorder="1" applyAlignment="1">
      <alignment horizontal="center" wrapText="1"/>
    </xf>
    <xf numFmtId="165" fontId="8" fillId="0" borderId="14" xfId="0" applyNumberFormat="1" applyFont="1" applyFill="1" applyBorder="1" applyAlignment="1">
      <alignment horizontal="center"/>
    </xf>
    <xf numFmtId="165" fontId="8" fillId="0" borderId="13" xfId="0" applyNumberFormat="1" applyFont="1" applyFill="1" applyBorder="1" applyAlignment="1">
      <alignment horizontal="center"/>
    </xf>
    <xf numFmtId="165" fontId="8" fillId="0" borderId="2" xfId="0" applyNumberFormat="1" applyFont="1" applyFill="1" applyBorder="1" applyAlignment="1">
      <alignment horizontal="center"/>
    </xf>
    <xf numFmtId="0" fontId="16" fillId="0" borderId="13" xfId="0" applyFont="1" applyBorder="1" applyAlignment="1">
      <alignment horizontal="center"/>
    </xf>
    <xf numFmtId="0" fontId="16" fillId="0" borderId="2" xfId="0" applyFont="1" applyBorder="1" applyAlignment="1">
      <alignment horizontal="center"/>
    </xf>
    <xf numFmtId="0" fontId="0" fillId="5" borderId="5" xfId="0" applyFill="1" applyBorder="1" applyAlignment="1">
      <alignment horizontal="center" vertical="center" textRotation="90" wrapText="1"/>
    </xf>
    <xf numFmtId="0" fontId="0" fillId="5" borderId="15" xfId="0" applyFill="1" applyBorder="1" applyAlignment="1">
      <alignment horizontal="center" vertical="center" textRotation="90" wrapText="1"/>
    </xf>
    <xf numFmtId="0" fontId="0" fillId="5" borderId="3" xfId="0" applyFill="1" applyBorder="1" applyAlignment="1">
      <alignment horizontal="center" vertical="center" textRotation="90" wrapText="1"/>
    </xf>
    <xf numFmtId="0" fontId="8" fillId="0" borderId="14" xfId="0" applyFont="1" applyFill="1" applyBorder="1" applyAlignment="1">
      <alignment horizontal="center"/>
    </xf>
    <xf numFmtId="0" fontId="8" fillId="0" borderId="13" xfId="0" applyFont="1" applyFill="1" applyBorder="1" applyAlignment="1">
      <alignment horizontal="center"/>
    </xf>
    <xf numFmtId="0" fontId="8" fillId="0" borderId="2" xfId="0" applyFont="1" applyFill="1" applyBorder="1" applyAlignment="1">
      <alignment horizontal="center"/>
    </xf>
    <xf numFmtId="0" fontId="4" fillId="0" borderId="14" xfId="0" applyFont="1" applyBorder="1" applyAlignment="1">
      <alignment horizontal="center"/>
    </xf>
    <xf numFmtId="0" fontId="4" fillId="0" borderId="2" xfId="0" applyFont="1" applyBorder="1" applyAlignment="1">
      <alignment horizontal="center"/>
    </xf>
    <xf numFmtId="0" fontId="4" fillId="0" borderId="13" xfId="0" applyFont="1" applyBorder="1" applyAlignment="1">
      <alignment horizontal="center"/>
    </xf>
    <xf numFmtId="0" fontId="16" fillId="0" borderId="14" xfId="0" applyFont="1" applyBorder="1" applyAlignment="1">
      <alignment horizontal="center"/>
    </xf>
    <xf numFmtId="0" fontId="2" fillId="0" borderId="14" xfId="0" applyFont="1" applyBorder="1" applyAlignment="1">
      <alignment horizontal="center"/>
    </xf>
    <xf numFmtId="0" fontId="2" fillId="0" borderId="13" xfId="0" applyFont="1" applyBorder="1" applyAlignment="1">
      <alignment horizontal="center"/>
    </xf>
    <xf numFmtId="0" fontId="2" fillId="0" borderId="2" xfId="0" applyFont="1" applyBorder="1" applyAlignment="1">
      <alignment horizontal="center"/>
    </xf>
    <xf numFmtId="0" fontId="15" fillId="0" borderId="14" xfId="0" applyFont="1" applyFill="1" applyBorder="1" applyAlignment="1">
      <alignment horizontal="center"/>
    </xf>
    <xf numFmtId="0" fontId="15" fillId="0" borderId="13" xfId="0" applyFont="1" applyFill="1" applyBorder="1" applyAlignment="1">
      <alignment horizontal="center"/>
    </xf>
    <xf numFmtId="0" fontId="15" fillId="0" borderId="2" xfId="0" applyFont="1" applyFill="1" applyBorder="1" applyAlignment="1">
      <alignment horizontal="center"/>
    </xf>
    <xf numFmtId="0" fontId="2" fillId="2" borderId="14" xfId="0" applyFont="1" applyFill="1" applyBorder="1" applyAlignment="1">
      <alignment horizontal="center"/>
    </xf>
    <xf numFmtId="0" fontId="2" fillId="2" borderId="2" xfId="0" applyFont="1" applyFill="1" applyBorder="1" applyAlignment="1">
      <alignment horizontal="center"/>
    </xf>
    <xf numFmtId="0" fontId="0" fillId="0" borderId="14" xfId="0" applyBorder="1" applyAlignment="1">
      <alignment horizontal="center"/>
    </xf>
    <xf numFmtId="0" fontId="0" fillId="0" borderId="2" xfId="0" applyBorder="1" applyAlignment="1">
      <alignment horizontal="center"/>
    </xf>
    <xf numFmtId="0" fontId="0" fillId="0" borderId="13" xfId="0" applyBorder="1" applyAlignment="1">
      <alignment horizontal="center"/>
    </xf>
    <xf numFmtId="0" fontId="0" fillId="0" borderId="5" xfId="0" applyFill="1" applyBorder="1" applyAlignment="1">
      <alignment horizontal="left" vertical="center" wrapText="1"/>
    </xf>
    <xf numFmtId="0" fontId="0" fillId="0" borderId="3" xfId="0" applyFill="1" applyBorder="1" applyAlignment="1">
      <alignment horizontal="left" vertical="center" wrapText="1"/>
    </xf>
    <xf numFmtId="0" fontId="2" fillId="0" borderId="5" xfId="0" applyFont="1" applyBorder="1" applyAlignment="1">
      <alignment horizontal="center" vertical="center" textRotation="90"/>
    </xf>
    <xf numFmtId="0" fontId="2" fillId="0" borderId="15" xfId="0" applyFont="1" applyBorder="1" applyAlignment="1">
      <alignment horizontal="center" vertical="center" textRotation="90"/>
    </xf>
    <xf numFmtId="0" fontId="2" fillId="0" borderId="3" xfId="0" applyFont="1" applyBorder="1" applyAlignment="1">
      <alignment horizontal="center" vertical="center" textRotation="90"/>
    </xf>
    <xf numFmtId="0" fontId="2" fillId="0" borderId="8" xfId="0" applyFont="1" applyBorder="1" applyAlignment="1">
      <alignment horizontal="center" vertical="center" textRotation="90"/>
    </xf>
    <xf numFmtId="0" fontId="2" fillId="0" borderId="10" xfId="0" applyFont="1" applyBorder="1" applyAlignment="1">
      <alignment horizontal="center" vertical="center" textRotation="90"/>
    </xf>
    <xf numFmtId="0" fontId="2" fillId="0" borderId="4" xfId="0" applyFont="1" applyBorder="1" applyAlignment="1">
      <alignment horizontal="center" vertical="center" textRotation="90"/>
    </xf>
    <xf numFmtId="0" fontId="2" fillId="5" borderId="5" xfId="0" applyFont="1" applyFill="1" applyBorder="1" applyAlignment="1">
      <alignment horizontal="center" vertical="center" textRotation="90" wrapText="1"/>
    </xf>
    <xf numFmtId="0" fontId="2" fillId="5" borderId="15" xfId="0" applyFont="1" applyFill="1" applyBorder="1" applyAlignment="1">
      <alignment horizontal="center" vertical="center" textRotation="90" wrapText="1"/>
    </xf>
    <xf numFmtId="0" fontId="2" fillId="5" borderId="3" xfId="0" applyFont="1" applyFill="1" applyBorder="1" applyAlignment="1">
      <alignment horizontal="center" vertical="center" textRotation="90" wrapText="1"/>
    </xf>
    <xf numFmtId="0" fontId="0" fillId="0" borderId="0" xfId="0" applyFill="1" applyBorder="1" applyAlignment="1">
      <alignment horizontal="center" vertical="center" wrapText="1"/>
    </xf>
    <xf numFmtId="0" fontId="2" fillId="0" borderId="6" xfId="0" applyFont="1" applyBorder="1" applyAlignment="1">
      <alignment horizontal="center"/>
    </xf>
    <xf numFmtId="0" fontId="2" fillId="0" borderId="8" xfId="0" applyFont="1" applyBorder="1" applyAlignment="1">
      <alignment horizontal="center"/>
    </xf>
    <xf numFmtId="0" fontId="2" fillId="2" borderId="13" xfId="0" applyFont="1" applyFill="1" applyBorder="1" applyAlignment="1">
      <alignment horizontal="center"/>
    </xf>
    <xf numFmtId="0" fontId="0" fillId="0" borderId="14" xfId="0" applyFill="1" applyBorder="1" applyAlignment="1">
      <alignment horizontal="center"/>
    </xf>
    <xf numFmtId="0" fontId="0" fillId="0" borderId="2" xfId="0" applyFill="1" applyBorder="1" applyAlignment="1">
      <alignment horizontal="center"/>
    </xf>
    <xf numFmtId="9" fontId="2" fillId="2" borderId="14" xfId="0" applyNumberFormat="1" applyFont="1" applyFill="1" applyBorder="1" applyAlignment="1">
      <alignment horizontal="center"/>
    </xf>
    <xf numFmtId="9" fontId="2" fillId="2" borderId="13" xfId="0" applyNumberFormat="1" applyFont="1" applyFill="1" applyBorder="1" applyAlignment="1">
      <alignment horizontal="center"/>
    </xf>
    <xf numFmtId="0" fontId="7" fillId="2" borderId="14" xfId="0" applyFont="1" applyFill="1" applyBorder="1" applyAlignment="1">
      <alignment horizontal="center"/>
    </xf>
    <xf numFmtId="0" fontId="7" fillId="2" borderId="2" xfId="0" applyFont="1" applyFill="1" applyBorder="1" applyAlignment="1">
      <alignment horizontal="center"/>
    </xf>
    <xf numFmtId="0" fontId="0" fillId="0" borderId="6" xfId="0" applyBorder="1" applyAlignment="1">
      <alignment horizontal="center"/>
    </xf>
    <xf numFmtId="0" fontId="0" fillId="0" borderId="8" xfId="0" applyBorder="1" applyAlignment="1">
      <alignment horizontal="center"/>
    </xf>
    <xf numFmtId="0" fontId="2" fillId="0" borderId="14" xfId="0" applyFont="1" applyBorder="1" applyAlignment="1">
      <alignment horizontal="center" wrapText="1"/>
    </xf>
    <xf numFmtId="0" fontId="2" fillId="0" borderId="13" xfId="0" applyFont="1" applyBorder="1" applyAlignment="1">
      <alignment horizontal="center" wrapText="1"/>
    </xf>
    <xf numFmtId="0" fontId="2" fillId="0" borderId="2" xfId="0" applyFont="1" applyBorder="1" applyAlignment="1">
      <alignment horizontal="center" wrapText="1"/>
    </xf>
    <xf numFmtId="0" fontId="6" fillId="0" borderId="14" xfId="0" applyFont="1" applyBorder="1" applyAlignment="1">
      <alignment horizontal="center"/>
    </xf>
    <xf numFmtId="0" fontId="6" fillId="0" borderId="2" xfId="0" applyFont="1" applyBorder="1" applyAlignment="1">
      <alignment horizontal="center"/>
    </xf>
    <xf numFmtId="0" fontId="0" fillId="0" borderId="14" xfId="0" applyBorder="1" applyAlignment="1">
      <alignment horizontal="center" wrapText="1"/>
    </xf>
    <xf numFmtId="0" fontId="0" fillId="0" borderId="2" xfId="0" applyBorder="1" applyAlignment="1">
      <alignment horizontal="center" wrapText="1"/>
    </xf>
    <xf numFmtId="0" fontId="0" fillId="0" borderId="13" xfId="0" applyBorder="1" applyAlignment="1">
      <alignment horizontal="center" wrapText="1"/>
    </xf>
    <xf numFmtId="0" fontId="24" fillId="18" borderId="5" xfId="0" applyFont="1" applyFill="1" applyBorder="1" applyAlignment="1">
      <alignment horizontal="center" vertical="center" textRotation="90"/>
    </xf>
    <xf numFmtId="0" fontId="24" fillId="18" borderId="15" xfId="0" applyFont="1" applyFill="1" applyBorder="1" applyAlignment="1">
      <alignment horizontal="center" vertical="center" textRotation="90"/>
    </xf>
    <xf numFmtId="0" fontId="24" fillId="18" borderId="3" xfId="0" applyFont="1" applyFill="1" applyBorder="1" applyAlignment="1">
      <alignment horizontal="center" vertical="center" textRotation="90"/>
    </xf>
    <xf numFmtId="0" fontId="2" fillId="4" borderId="8" xfId="0" applyFont="1" applyFill="1" applyBorder="1" applyAlignment="1">
      <alignment horizontal="center" vertical="center" textRotation="90" wrapText="1"/>
    </xf>
    <xf numFmtId="0" fontId="2" fillId="4" borderId="10" xfId="0" applyFont="1" applyFill="1" applyBorder="1" applyAlignment="1">
      <alignment horizontal="center" vertical="center" textRotation="90" wrapText="1"/>
    </xf>
    <xf numFmtId="0" fontId="2" fillId="4" borderId="4" xfId="0" applyFont="1" applyFill="1" applyBorder="1" applyAlignment="1">
      <alignment horizontal="center" vertical="center" textRotation="90" wrapText="1"/>
    </xf>
    <xf numFmtId="0" fontId="2" fillId="4" borderId="7" xfId="0" applyFont="1" applyFill="1" applyBorder="1" applyAlignment="1">
      <alignment horizontal="center" vertical="center" textRotation="90" wrapText="1"/>
    </xf>
    <xf numFmtId="0" fontId="2" fillId="4" borderId="0" xfId="0" applyFont="1" applyFill="1" applyBorder="1" applyAlignment="1">
      <alignment horizontal="center" vertical="center" textRotation="90" wrapText="1"/>
    </xf>
    <xf numFmtId="0" fontId="2" fillId="4" borderId="12" xfId="0" applyFont="1" applyFill="1" applyBorder="1" applyAlignment="1">
      <alignment horizontal="center" vertical="center" textRotation="90" wrapText="1"/>
    </xf>
    <xf numFmtId="0" fontId="2" fillId="4" borderId="5" xfId="0" applyFont="1" applyFill="1" applyBorder="1" applyAlignment="1">
      <alignment horizontal="center" vertical="center" textRotation="90" wrapText="1"/>
    </xf>
    <xf numFmtId="0" fontId="2" fillId="4" borderId="15" xfId="0" applyFont="1" applyFill="1" applyBorder="1" applyAlignment="1">
      <alignment horizontal="center" vertical="center" textRotation="90" wrapText="1"/>
    </xf>
    <xf numFmtId="0" fontId="2" fillId="4" borderId="3" xfId="0" applyFont="1" applyFill="1" applyBorder="1" applyAlignment="1">
      <alignment horizontal="center" vertical="center" textRotation="90" wrapText="1"/>
    </xf>
    <xf numFmtId="0" fontId="2" fillId="2" borderId="5" xfId="0" applyFont="1" applyFill="1" applyBorder="1" applyAlignment="1">
      <alignment horizontal="center" vertical="center" textRotation="90"/>
    </xf>
    <xf numFmtId="0" fontId="2" fillId="2" borderId="15" xfId="0" applyFont="1" applyFill="1" applyBorder="1" applyAlignment="1">
      <alignment horizontal="center" vertical="center" textRotation="90"/>
    </xf>
    <xf numFmtId="0" fontId="2" fillId="2" borderId="3" xfId="0" applyFont="1" applyFill="1" applyBorder="1" applyAlignment="1">
      <alignment horizontal="center" vertical="center" textRotation="90"/>
    </xf>
    <xf numFmtId="0" fontId="0" fillId="0" borderId="1" xfId="5" applyNumberFormat="1" applyFont="1" applyBorder="1" applyAlignment="1">
      <alignment horizontal="center"/>
    </xf>
  </cellXfs>
  <cellStyles count="6">
    <cellStyle name="Comma" xfId="3" builtinId="3"/>
    <cellStyle name="Currency" xfId="5" builtinId="4"/>
    <cellStyle name="Hyperlink" xfId="4" builtinId="8"/>
    <cellStyle name="Normal" xfId="0" builtinId="0"/>
    <cellStyle name="Percent" xfId="2" builtinId="5"/>
    <cellStyle name="Standaard 2" xfId="1" xr:uid="{F2F3726B-803F-49D4-9B5E-AB19F5A6A3B2}"/>
  </cellStyles>
  <dxfs count="0"/>
  <tableStyles count="0" defaultTableStyle="TableStyleMedium2" defaultPivotStyle="PivotStyleLight16"/>
  <colors>
    <mruColors>
      <color rgb="FFEFB081"/>
      <color rgb="FFFFFF99"/>
      <color rgb="FFCC66FF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alcChain" Target="calcChain.xml"/><Relationship Id="rId3" Type="http://schemas.openxmlformats.org/officeDocument/2006/relationships/worksheet" Target="worksheets/sheet3.xml"/><Relationship Id="rId7" Type="http://schemas.openxmlformats.org/officeDocument/2006/relationships/sharedStrings" Target="sharedStrings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tyles" Target="styles.xml"/><Relationship Id="rId5" Type="http://schemas.openxmlformats.org/officeDocument/2006/relationships/theme" Target="theme/theme1.xml"/><Relationship Id="rId4" Type="http://schemas.openxmlformats.org/officeDocument/2006/relationships/worksheet" Target="worksheets/sheet4.xml"/><Relationship Id="rId9" Type="http://schemas.microsoft.com/office/2006/relationships/vbaProject" Target="vbaProject.bin"/></Relationships>
</file>

<file path=xl/activeX/_rels/activeX1.xml.rels><?xml version="1.0" encoding="UTF-8" standalone="yes"?>
<Relationships xmlns="http://schemas.openxmlformats.org/package/2006/relationships"><Relationship Id="rId1" Type="http://schemas.microsoft.com/office/2006/relationships/activeXControlBinary" Target="activeX1.bin"/></Relationships>
</file>

<file path=xl/activeX/_rels/activeX2.xml.rels><?xml version="1.0" encoding="UTF-8" standalone="yes"?>
<Relationships xmlns="http://schemas.openxmlformats.org/package/2006/relationships"><Relationship Id="rId1" Type="http://schemas.microsoft.com/office/2006/relationships/activeXControlBinary" Target="activeX2.bin"/></Relationships>
</file>

<file path=xl/activeX/_rels/activeX3.xml.rels><?xml version="1.0" encoding="UTF-8" standalone="yes"?>
<Relationships xmlns="http://schemas.openxmlformats.org/package/2006/relationships"><Relationship Id="rId1" Type="http://schemas.microsoft.com/office/2006/relationships/activeXControlBinary" Target="activeX3.bin"/></Relationships>
</file>

<file path=xl/activeX/_rels/activeX4.xml.rels><?xml version="1.0" encoding="UTF-8" standalone="yes"?>
<Relationships xmlns="http://schemas.openxmlformats.org/package/2006/relationships"><Relationship Id="rId1" Type="http://schemas.microsoft.com/office/2006/relationships/activeXControlBinary" Target="activeX4.bin"/></Relationships>
</file>

<file path=xl/activeX/_rels/activeX5.xml.rels><?xml version="1.0" encoding="UTF-8" standalone="yes"?>
<Relationships xmlns="http://schemas.openxmlformats.org/package/2006/relationships"><Relationship Id="rId1" Type="http://schemas.microsoft.com/office/2006/relationships/activeXControlBinary" Target="activeX5.bin"/></Relationships>
</file>

<file path=xl/activeX/activeX1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2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3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4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activeX/activeX5.xml><?xml version="1.0" encoding="utf-8"?>
<ax:ocx xmlns:ax="http://schemas.microsoft.com/office/2006/activeX" xmlns:r="http://schemas.openxmlformats.org/officeDocument/2006/relationships" ax:classid="{D7053240-CE69-11CD-A777-00DD01143C57}" ax:persistence="persistStreamInit" r:id="rId1"/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_rels/chart2.xml.rels><?xml version="1.0" encoding="UTF-8" standalone="yes"?>
<Relationships xmlns="http://schemas.openxmlformats.org/package/2006/relationships"><Relationship Id="rId2" Type="http://schemas.microsoft.com/office/2011/relationships/chartColorStyle" Target="colors2.xml"/><Relationship Id="rId1" Type="http://schemas.microsoft.com/office/2011/relationships/chartStyle" Target="style2.xml"/></Relationships>
</file>

<file path=xl/charts/_rels/chart3.xml.rels><?xml version="1.0" encoding="UTF-8" standalone="yes"?>
<Relationships xmlns="http://schemas.openxmlformats.org/package/2006/relationships"><Relationship Id="rId2" Type="http://schemas.microsoft.com/office/2011/relationships/chartColorStyle" Target="colors3.xml"/><Relationship Id="rId1" Type="http://schemas.microsoft.com/office/2011/relationships/chartStyle" Target="style3.xml"/></Relationships>
</file>

<file path=xl/charts/_rels/chart4.xml.rels><?xml version="1.0" encoding="UTF-8" standalone="yes"?>
<Relationships xmlns="http://schemas.openxmlformats.org/package/2006/relationships"><Relationship Id="rId2" Type="http://schemas.microsoft.com/office/2011/relationships/chartColorStyle" Target="colors4.xml"/><Relationship Id="rId1" Type="http://schemas.microsoft.com/office/2011/relationships/chartStyle" Target="style4.xml"/></Relationships>
</file>

<file path=xl/charts/_rels/chart5.xml.rels><?xml version="1.0" encoding="UTF-8" standalone="yes"?>
<Relationships xmlns="http://schemas.openxmlformats.org/package/2006/relationships"><Relationship Id="rId2" Type="http://schemas.microsoft.com/office/2011/relationships/chartColorStyle" Target="colors5.xml"/><Relationship Id="rId1" Type="http://schemas.microsoft.com/office/2011/relationships/chartStyle" Target="style5.xml"/></Relationships>
</file>

<file path=xl/charts/_rels/chart6.xml.rels><?xml version="1.0" encoding="UTF-8" standalone="yes"?>
<Relationships xmlns="http://schemas.openxmlformats.org/package/2006/relationships"><Relationship Id="rId2" Type="http://schemas.microsoft.com/office/2011/relationships/chartColorStyle" Target="colors6.xml"/><Relationship Id="rId1" Type="http://schemas.microsoft.com/office/2011/relationships/chartStyle" Target="style6.xml"/></Relationships>
</file>

<file path=xl/charts/_rels/chart7.xml.rels><?xml version="1.0" encoding="UTF-8" standalone="yes"?>
<Relationships xmlns="http://schemas.openxmlformats.org/package/2006/relationships"><Relationship Id="rId2" Type="http://schemas.microsoft.com/office/2011/relationships/chartColorStyle" Target="colors7.xml"/><Relationship Id="rId1" Type="http://schemas.microsoft.com/office/2011/relationships/chartStyle" Target="style7.xml"/></Relationships>
</file>

<file path=xl/charts/_rels/chart8.xml.rels><?xml version="1.0" encoding="UTF-8" standalone="yes"?>
<Relationships xmlns="http://schemas.openxmlformats.org/package/2006/relationships"><Relationship Id="rId2" Type="http://schemas.microsoft.com/office/2011/relationships/chartColorStyle" Target="colors8.xml"/><Relationship Id="rId1" Type="http://schemas.microsoft.com/office/2011/relationships/chartStyle" Target="style8.xml"/></Relationships>
</file>

<file path=xl/charts/_rels/chart9.xml.rels><?xml version="1.0" encoding="UTF-8" standalone="yes"?>
<Relationships xmlns="http://schemas.openxmlformats.org/package/2006/relationships"><Relationship Id="rId2" Type="http://schemas.microsoft.com/office/2011/relationships/chartColorStyle" Target="colors9.xml"/><Relationship Id="rId1" Type="http://schemas.microsoft.com/office/2011/relationships/chartStyle" Target="style9.xml"/></Relationships>
</file>

<file path=xl/charts/_rels/chart10.xml.rels><?xml version="1.0" encoding="UTF-8" standalone="yes"?>
<Relationships xmlns="http://schemas.openxmlformats.org/package/2006/relationships"><Relationship Id="rId2" Type="http://schemas.microsoft.com/office/2011/relationships/chartColorStyle" Target="colors10.xml"/><Relationship Id="rId1" Type="http://schemas.microsoft.com/office/2011/relationships/chartStyle" Target="style10.xml"/></Relationships>
</file>

<file path=xl/charts/_rels/chart11.xml.rels><?xml version="1.0" encoding="UTF-8" standalone="yes"?>
<Relationships xmlns="http://schemas.openxmlformats.org/package/2006/relationships"><Relationship Id="rId2" Type="http://schemas.microsoft.com/office/2011/relationships/chartColorStyle" Target="colors11.xml"/><Relationship Id="rId1" Type="http://schemas.microsoft.com/office/2011/relationships/chartStyle" Target="style11.xml"/></Relationships>
</file>

<file path=xl/charts/_rels/chart12.xml.rels><?xml version="1.0" encoding="UTF-8" standalone="yes"?>
<Relationships xmlns="http://schemas.openxmlformats.org/package/2006/relationships"><Relationship Id="rId2" Type="http://schemas.microsoft.com/office/2011/relationships/chartColorStyle" Target="colors12.xml"/><Relationship Id="rId1" Type="http://schemas.microsoft.com/office/2011/relationships/chartStyle" Target="style12.xml"/></Relationships>
</file>

<file path=xl/charts/_rels/chart13.xml.rels><?xml version="1.0" encoding="UTF-8" standalone="yes"?>
<Relationships xmlns="http://schemas.openxmlformats.org/package/2006/relationships"><Relationship Id="rId2" Type="http://schemas.microsoft.com/office/2011/relationships/chartColorStyle" Target="colors13.xml"/><Relationship Id="rId1" Type="http://schemas.microsoft.com/office/2011/relationships/chartStyle" Target="style13.xml"/></Relationships>
</file>

<file path=xl/charts/_rels/chart14.xml.rels><?xml version="1.0" encoding="UTF-8" standalone="yes"?>
<Relationships xmlns="http://schemas.openxmlformats.org/package/2006/relationships"><Relationship Id="rId2" Type="http://schemas.microsoft.com/office/2011/relationships/chartColorStyle" Target="colors14.xml"/><Relationship Id="rId1" Type="http://schemas.microsoft.com/office/2011/relationships/chartStyle" Target="style14.xml"/></Relationships>
</file>

<file path=xl/charts/_rels/chart15.xml.rels><?xml version="1.0" encoding="UTF-8" standalone="yes"?>
<Relationships xmlns="http://schemas.openxmlformats.org/package/2006/relationships"><Relationship Id="rId2" Type="http://schemas.microsoft.com/office/2011/relationships/chartColorStyle" Target="colors15.xml"/><Relationship Id="rId1" Type="http://schemas.microsoft.com/office/2011/relationships/chartStyle" Target="style15.xml"/></Relationships>
</file>

<file path=xl/charts/_rels/chart16.xml.rels><?xml version="1.0" encoding="UTF-8" standalone="yes"?>
<Relationships xmlns="http://schemas.openxmlformats.org/package/2006/relationships"><Relationship Id="rId2" Type="http://schemas.microsoft.com/office/2011/relationships/chartColorStyle" Target="colors16.xml"/><Relationship Id="rId1" Type="http://schemas.microsoft.com/office/2011/relationships/chartStyle" Target="style16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bottom fixed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Calculations!$P$219:$AI$219</c:f>
              <c:numCache>
                <c:formatCode>0.00</c:formatCode>
                <c:ptCount val="20"/>
                <c:pt idx="0">
                  <c:v>1.844002636501723</c:v>
                </c:pt>
                <c:pt idx="1">
                  <c:v>1.8989969087927696</c:v>
                </c:pt>
                <c:pt idx="2">
                  <c:v>1.953991181083816</c:v>
                </c:pt>
                <c:pt idx="3">
                  <c:v>2.0089854533748626</c:v>
                </c:pt>
                <c:pt idx="4">
                  <c:v>2.0646228447216268</c:v>
                </c:pt>
                <c:pt idx="5">
                  <c:v>2.1202602360683906</c:v>
                </c:pt>
                <c:pt idx="6">
                  <c:v>2.1758976274151549</c:v>
                </c:pt>
                <c:pt idx="7">
                  <c:v>2.2326010445130096</c:v>
                </c:pt>
                <c:pt idx="8">
                  <c:v>2.2893044616108638</c:v>
                </c:pt>
                <c:pt idx="9">
                  <c:v>2.3460078787087184</c:v>
                </c:pt>
                <c:pt idx="10">
                  <c:v>2.4027112958065726</c:v>
                </c:pt>
                <c:pt idx="11">
                  <c:v>2.4594147129044273</c:v>
                </c:pt>
                <c:pt idx="12">
                  <c:v>2.5161181300022815</c:v>
                </c:pt>
                <c:pt idx="13">
                  <c:v>2.5728215471001361</c:v>
                </c:pt>
                <c:pt idx="14">
                  <c:v>2.6309058056134313</c:v>
                </c:pt>
                <c:pt idx="15">
                  <c:v>2.688990064126727</c:v>
                </c:pt>
                <c:pt idx="16">
                  <c:v>2.7470743226400223</c:v>
                </c:pt>
                <c:pt idx="17">
                  <c:v>2.8051585811533175</c:v>
                </c:pt>
                <c:pt idx="18">
                  <c:v>2.8632428396666132</c:v>
                </c:pt>
                <c:pt idx="19">
                  <c:v>2.9213270981799084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2ADB-4CE8-BC7F-4F69C61C46FF}"/>
            </c:ext>
          </c:extLst>
        </c:ser>
        <c:ser>
          <c:idx val="2"/>
          <c:order val="2"/>
          <c:tx>
            <c:v>H2 offshore 2035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Calculations!$P$220:$AI$220</c:f>
              <c:numCache>
                <c:formatCode>0.00</c:formatCode>
                <c:ptCount val="20"/>
                <c:pt idx="0">
                  <c:v>1.5506155898520433</c:v>
                </c:pt>
                <c:pt idx="1">
                  <c:v>1.5696097691974633</c:v>
                </c:pt>
                <c:pt idx="2">
                  <c:v>1.5886039485428833</c:v>
                </c:pt>
                <c:pt idx="3">
                  <c:v>1.6075981278883034</c:v>
                </c:pt>
                <c:pt idx="4">
                  <c:v>1.6266876572965514</c:v>
                </c:pt>
                <c:pt idx="5">
                  <c:v>1.6457771867047997</c:v>
                </c:pt>
                <c:pt idx="6">
                  <c:v>1.6648667161130477</c:v>
                </c:pt>
                <c:pt idx="7">
                  <c:v>1.6841093229509037</c:v>
                </c:pt>
                <c:pt idx="8">
                  <c:v>1.7033519297887598</c:v>
                </c:pt>
                <c:pt idx="9">
                  <c:v>1.7225945366266158</c:v>
                </c:pt>
                <c:pt idx="10">
                  <c:v>1.7418371434644717</c:v>
                </c:pt>
                <c:pt idx="11">
                  <c:v>1.7610797503023277</c:v>
                </c:pt>
                <c:pt idx="12">
                  <c:v>1.7803223571401838</c:v>
                </c:pt>
                <c:pt idx="13">
                  <c:v>1.7995649639780398</c:v>
                </c:pt>
                <c:pt idx="14">
                  <c:v>1.8190015794134096</c:v>
                </c:pt>
                <c:pt idx="15">
                  <c:v>1.8384381948487794</c:v>
                </c:pt>
                <c:pt idx="16">
                  <c:v>1.8578748102841491</c:v>
                </c:pt>
                <c:pt idx="17">
                  <c:v>1.8773114257195189</c:v>
                </c:pt>
                <c:pt idx="18">
                  <c:v>1.8967480411548887</c:v>
                </c:pt>
                <c:pt idx="19">
                  <c:v>1.9161846565902585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2ADB-4CE8-BC7F-4F69C61C46FF}"/>
            </c:ext>
          </c:extLst>
        </c:ser>
        <c:ser>
          <c:idx val="4"/>
          <c:order val="4"/>
          <c:tx>
            <c:v>H2 onshore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Calculations!$P$223:$AI$223</c:f>
              <c:numCache>
                <c:formatCode>0.00</c:formatCode>
                <c:ptCount val="20"/>
                <c:pt idx="0">
                  <c:v>1.276978359358637</c:v>
                </c:pt>
                <c:pt idx="1">
                  <c:v>1.32446178046674</c:v>
                </c:pt>
                <c:pt idx="2">
                  <c:v>1.3719452015748432</c:v>
                </c:pt>
                <c:pt idx="3">
                  <c:v>1.4194286226829462</c:v>
                </c:pt>
                <c:pt idx="4">
                  <c:v>1.4677438980147215</c:v>
                </c:pt>
                <c:pt idx="5">
                  <c:v>1.5160591733464968</c:v>
                </c:pt>
                <c:pt idx="6">
                  <c:v>1.564374448678272</c:v>
                </c:pt>
                <c:pt idx="7">
                  <c:v>1.6140876695743913</c:v>
                </c:pt>
                <c:pt idx="8">
                  <c:v>1.6638008904705108</c:v>
                </c:pt>
                <c:pt idx="9">
                  <c:v>1.7135141113666301</c:v>
                </c:pt>
                <c:pt idx="10">
                  <c:v>1.7632273322627494</c:v>
                </c:pt>
                <c:pt idx="11">
                  <c:v>1.8129405531588687</c:v>
                </c:pt>
                <c:pt idx="12">
                  <c:v>1.8626537740549882</c:v>
                </c:pt>
                <c:pt idx="13">
                  <c:v>1.9123669949511075</c:v>
                </c:pt>
                <c:pt idx="14">
                  <c:v>1.9639184504722744</c:v>
                </c:pt>
                <c:pt idx="15">
                  <c:v>2.0154699059934416</c:v>
                </c:pt>
                <c:pt idx="16">
                  <c:v>2.0670213615146085</c:v>
                </c:pt>
                <c:pt idx="17">
                  <c:v>2.1185728170357754</c:v>
                </c:pt>
                <c:pt idx="18">
                  <c:v>2.1701242725569423</c:v>
                </c:pt>
                <c:pt idx="19">
                  <c:v>2.2216757280781092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2ADB-4CE8-BC7F-4F69C61C46FF}"/>
            </c:ext>
          </c:extLst>
        </c:ser>
        <c:ser>
          <c:idx val="5"/>
          <c:order val="5"/>
          <c:tx>
            <c:v>H2 offshore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Calculations!$P$224:$AI$224</c:f>
              <c:numCache>
                <c:formatCode>0.00</c:formatCode>
                <c:ptCount val="20"/>
                <c:pt idx="0">
                  <c:v>1.2142997644780933</c:v>
                </c:pt>
                <c:pt idx="1">
                  <c:v>1.2299210118045865</c:v>
                </c:pt>
                <c:pt idx="2">
                  <c:v>1.2455422591310796</c:v>
                </c:pt>
                <c:pt idx="3">
                  <c:v>1.2611635064575728</c:v>
                </c:pt>
                <c:pt idx="4">
                  <c:v>1.2768638548761828</c:v>
                </c:pt>
                <c:pt idx="5">
                  <c:v>1.2925642032947926</c:v>
                </c:pt>
                <c:pt idx="6">
                  <c:v>1.3082645517134026</c:v>
                </c:pt>
                <c:pt idx="7">
                  <c:v>1.3240934197270764</c:v>
                </c:pt>
                <c:pt idx="8">
                  <c:v>1.33992228774075</c:v>
                </c:pt>
                <c:pt idx="9">
                  <c:v>1.3557511557544237</c:v>
                </c:pt>
                <c:pt idx="10">
                  <c:v>1.3715800237680975</c:v>
                </c:pt>
                <c:pt idx="11">
                  <c:v>1.3874088917817713</c:v>
                </c:pt>
                <c:pt idx="12">
                  <c:v>1.4032377597954449</c:v>
                </c:pt>
                <c:pt idx="13">
                  <c:v>1.4190666278091186</c:v>
                </c:pt>
                <c:pt idx="14">
                  <c:v>1.4350597368210753</c:v>
                </c:pt>
                <c:pt idx="15">
                  <c:v>1.4510528458330321</c:v>
                </c:pt>
                <c:pt idx="16">
                  <c:v>1.4670459548449886</c:v>
                </c:pt>
                <c:pt idx="17">
                  <c:v>1.4830390638569453</c:v>
                </c:pt>
                <c:pt idx="18">
                  <c:v>1.499032172868902</c:v>
                </c:pt>
                <c:pt idx="19">
                  <c:v>1.5150252818808587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2ADB-4CE8-BC7F-4F69C61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ser>
          <c:idx val="0"/>
          <c:order val="0"/>
          <c:tx>
            <c:v>electricity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Calculations!$P$218:$AI$218</c:f>
              <c:numCache>
                <c:formatCode>0.0</c:formatCode>
                <c:ptCount val="20"/>
                <c:pt idx="0">
                  <c:v>27.053233205903076</c:v>
                </c:pt>
                <c:pt idx="1">
                  <c:v>28.120473554073108</c:v>
                </c:pt>
                <c:pt idx="2">
                  <c:v>29.187713902243143</c:v>
                </c:pt>
                <c:pt idx="3">
                  <c:v>30.254954250413174</c:v>
                </c:pt>
                <c:pt idx="4">
                  <c:v>31.335047538965526</c:v>
                </c:pt>
                <c:pt idx="5">
                  <c:v>32.415140827517874</c:v>
                </c:pt>
                <c:pt idx="6">
                  <c:v>33.495234116070229</c:v>
                </c:pt>
                <c:pt idx="7">
                  <c:v>34.596748971926452</c:v>
                </c:pt>
                <c:pt idx="8">
                  <c:v>35.698263827782675</c:v>
                </c:pt>
                <c:pt idx="9">
                  <c:v>36.799778683638898</c:v>
                </c:pt>
                <c:pt idx="10">
                  <c:v>37.901293539495114</c:v>
                </c:pt>
                <c:pt idx="11">
                  <c:v>39.002808395351337</c:v>
                </c:pt>
                <c:pt idx="12">
                  <c:v>40.10432325120756</c:v>
                </c:pt>
                <c:pt idx="13">
                  <c:v>41.205838107063784</c:v>
                </c:pt>
                <c:pt idx="14">
                  <c:v>42.335201000415033</c:v>
                </c:pt>
                <c:pt idx="15">
                  <c:v>43.464563893766282</c:v>
                </c:pt>
                <c:pt idx="16">
                  <c:v>44.593926787117532</c:v>
                </c:pt>
                <c:pt idx="17">
                  <c:v>45.723289680468781</c:v>
                </c:pt>
                <c:pt idx="18">
                  <c:v>46.852652573820031</c:v>
                </c:pt>
                <c:pt idx="19">
                  <c:v>47.98201546717128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2ADB-4CE8-BC7F-4F69C61C46FF}"/>
            </c:ext>
          </c:extLst>
        </c:ser>
        <c:ser>
          <c:idx val="3"/>
          <c:order val="3"/>
          <c:tx>
            <c:v>electricity 2050</c:v>
          </c:tx>
          <c:spPr>
            <a:ln w="28575" cap="rnd">
              <a:solidFill>
                <a:schemeClr val="accent5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Calculations!$P$222:$AI$222</c:f>
              <c:numCache>
                <c:formatCode>0.0</c:formatCode>
                <c:ptCount val="20"/>
                <c:pt idx="0">
                  <c:v>24.993410681881024</c:v>
                </c:pt>
                <c:pt idx="1">
                  <c:v>26.005796899999698</c:v>
                </c:pt>
                <c:pt idx="2">
                  <c:v>27.018183118118376</c:v>
                </c:pt>
                <c:pt idx="3">
                  <c:v>28.03056933623705</c:v>
                </c:pt>
                <c:pt idx="4">
                  <c:v>29.061305554305189</c:v>
                </c:pt>
                <c:pt idx="5">
                  <c:v>30.092041772373332</c:v>
                </c:pt>
                <c:pt idx="6">
                  <c:v>31.12277799044147</c:v>
                </c:pt>
                <c:pt idx="7">
                  <c:v>32.18442714586709</c:v>
                </c:pt>
                <c:pt idx="8">
                  <c:v>33.24607630129271</c:v>
                </c:pt>
                <c:pt idx="9">
                  <c:v>34.30772545671833</c:v>
                </c:pt>
                <c:pt idx="10">
                  <c:v>35.36937461214395</c:v>
                </c:pt>
                <c:pt idx="11">
                  <c:v>36.43102376756957</c:v>
                </c:pt>
                <c:pt idx="12">
                  <c:v>37.49267292299519</c:v>
                </c:pt>
                <c:pt idx="13">
                  <c:v>38.55432207842081</c:v>
                </c:pt>
                <c:pt idx="14">
                  <c:v>39.656685418984537</c:v>
                </c:pt>
                <c:pt idx="15">
                  <c:v>40.759048759548271</c:v>
                </c:pt>
                <c:pt idx="16">
                  <c:v>41.861412100112005</c:v>
                </c:pt>
                <c:pt idx="17">
                  <c:v>42.963775440675732</c:v>
                </c:pt>
                <c:pt idx="18">
                  <c:v>44.066138781239459</c:v>
                </c:pt>
                <c:pt idx="19">
                  <c:v>45.168502121803193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2ADB-4CE8-BC7F-4F69C61C46FF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ax val="4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valAx>
        <c:axId val="632082080"/>
        <c:scaling>
          <c:orientation val="minMax"/>
          <c:max val="70"/>
          <c:min val="1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5">
                        <a:lumMod val="50000"/>
                      </a:schemeClr>
                    </a:solidFill>
                  </a:rPr>
                  <a:t>electricity</a:t>
                </a:r>
                <a:r>
                  <a:rPr lang="nl-NL" sz="1400" b="1" baseline="0">
                    <a:solidFill>
                      <a:schemeClr val="accent5">
                        <a:lumMod val="50000"/>
                      </a:schemeClr>
                    </a:solidFill>
                  </a:rPr>
                  <a:t> €/MWh</a:t>
                </a:r>
                <a:endParaRPr lang="nl-NL" sz="1400" b="1">
                  <a:solidFill>
                    <a:schemeClr val="accent5">
                      <a:lumMod val="50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floating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Calculations!$P$227:$AI$227</c:f>
              <c:numCache>
                <c:formatCode>0.00</c:formatCode>
                <c:ptCount val="20"/>
                <c:pt idx="0">
                  <c:v>2.3450917727482787</c:v>
                </c:pt>
                <c:pt idx="1">
                  <c:v>2.3991367392598466</c:v>
                </c:pt>
                <c:pt idx="2">
                  <c:v>2.453181705771414</c:v>
                </c:pt>
                <c:pt idx="3">
                  <c:v>2.5072266722829819</c:v>
                </c:pt>
                <c:pt idx="4">
                  <c:v>2.5620216900956478</c:v>
                </c:pt>
                <c:pt idx="5">
                  <c:v>2.6168167079083142</c:v>
                </c:pt>
                <c:pt idx="6">
                  <c:v>2.6716117257209802</c:v>
                </c:pt>
                <c:pt idx="7">
                  <c:v>2.7276568290354768</c:v>
                </c:pt>
                <c:pt idx="8">
                  <c:v>2.7837019323499734</c:v>
                </c:pt>
                <c:pt idx="9">
                  <c:v>2.8397470356644701</c:v>
                </c:pt>
                <c:pt idx="10">
                  <c:v>2.8957921389789667</c:v>
                </c:pt>
                <c:pt idx="11">
                  <c:v>2.9518372422934633</c:v>
                </c:pt>
                <c:pt idx="12">
                  <c:v>3.00788234560796</c:v>
                </c:pt>
                <c:pt idx="13">
                  <c:v>3.0639274489224566</c:v>
                </c:pt>
                <c:pt idx="14">
                  <c:v>3.1215976633893332</c:v>
                </c:pt>
                <c:pt idx="15">
                  <c:v>3.1792678778562093</c:v>
                </c:pt>
                <c:pt idx="16">
                  <c:v>3.2369380923230855</c:v>
                </c:pt>
                <c:pt idx="17">
                  <c:v>3.2946083067899621</c:v>
                </c:pt>
                <c:pt idx="18">
                  <c:v>3.3522785212568387</c:v>
                </c:pt>
                <c:pt idx="19">
                  <c:v>3.4099487357237148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A75-41F9-BAFB-74D5FA41F9F9}"/>
            </c:ext>
          </c:extLst>
        </c:ser>
        <c:ser>
          <c:idx val="2"/>
          <c:order val="2"/>
          <c:tx>
            <c:v>H2 offshore 2035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Calculations!$P$228:$AI$228</c:f>
              <c:numCache>
                <c:formatCode>0.00</c:formatCode>
                <c:ptCount val="20"/>
                <c:pt idx="0">
                  <c:v>2.1946539158751883</c:v>
                </c:pt>
                <c:pt idx="1">
                  <c:v>2.214508464472984</c:v>
                </c:pt>
                <c:pt idx="2">
                  <c:v>2.2343630130707797</c:v>
                </c:pt>
                <c:pt idx="3">
                  <c:v>2.2542175616685753</c:v>
                </c:pt>
                <c:pt idx="4">
                  <c:v>2.2742781133297401</c:v>
                </c:pt>
                <c:pt idx="5">
                  <c:v>2.2943386649909048</c:v>
                </c:pt>
                <c:pt idx="6">
                  <c:v>2.3143992166520695</c:v>
                </c:pt>
                <c:pt idx="7">
                  <c:v>2.3348031067521831</c:v>
                </c:pt>
                <c:pt idx="8">
                  <c:v>2.3552069968522966</c:v>
                </c:pt>
                <c:pt idx="9">
                  <c:v>2.3756108869524102</c:v>
                </c:pt>
                <c:pt idx="10">
                  <c:v>2.3960147770525233</c:v>
                </c:pt>
                <c:pt idx="11">
                  <c:v>2.4164186671526369</c:v>
                </c:pt>
                <c:pt idx="12">
                  <c:v>2.4368225572527504</c:v>
                </c:pt>
                <c:pt idx="13">
                  <c:v>2.457226447352864</c:v>
                </c:pt>
                <c:pt idx="14">
                  <c:v>2.4780766774236107</c:v>
                </c:pt>
                <c:pt idx="15">
                  <c:v>2.4989269074943574</c:v>
                </c:pt>
                <c:pt idx="16">
                  <c:v>2.5197771375651046</c:v>
                </c:pt>
                <c:pt idx="17">
                  <c:v>2.5406273676358513</c:v>
                </c:pt>
                <c:pt idx="18">
                  <c:v>2.561477597706598</c:v>
                </c:pt>
                <c:pt idx="19">
                  <c:v>2.5823278277773447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A75-41F9-BAFB-74D5FA41F9F9}"/>
            </c:ext>
          </c:extLst>
        </c:ser>
        <c:ser>
          <c:idx val="4"/>
          <c:order val="4"/>
          <c:tx>
            <c:v>H2 onshore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Calculations!$P$231:$AI$231</c:f>
              <c:numCache>
                <c:formatCode>0.00</c:formatCode>
                <c:ptCount val="20"/>
                <c:pt idx="0">
                  <c:v>1.5576974220828719</c:v>
                </c:pt>
                <c:pt idx="1">
                  <c:v>1.6069799968249507</c:v>
                </c:pt>
                <c:pt idx="2">
                  <c:v>1.6562625715670294</c:v>
                </c:pt>
                <c:pt idx="3">
                  <c:v>1.7055451463091083</c:v>
                </c:pt>
                <c:pt idx="4">
                  <c:v>1.7556899683816474</c:v>
                </c:pt>
                <c:pt idx="5">
                  <c:v>1.8058347904541865</c:v>
                </c:pt>
                <c:pt idx="6">
                  <c:v>1.8559796125267256</c:v>
                </c:pt>
                <c:pt idx="7">
                  <c:v>1.9075763509000525</c:v>
                </c:pt>
                <c:pt idx="8">
                  <c:v>1.9591730892733796</c:v>
                </c:pt>
                <c:pt idx="9">
                  <c:v>2.0107698276467065</c:v>
                </c:pt>
                <c:pt idx="10">
                  <c:v>2.0623665660200334</c:v>
                </c:pt>
                <c:pt idx="11">
                  <c:v>2.1139633043933608</c:v>
                </c:pt>
                <c:pt idx="12">
                  <c:v>2.1655600427666877</c:v>
                </c:pt>
                <c:pt idx="13">
                  <c:v>2.2171567811400146</c:v>
                </c:pt>
                <c:pt idx="14">
                  <c:v>2.2706647505710662</c:v>
                </c:pt>
                <c:pt idx="15">
                  <c:v>2.3241727200021178</c:v>
                </c:pt>
                <c:pt idx="16">
                  <c:v>2.3776806894331695</c:v>
                </c:pt>
                <c:pt idx="17">
                  <c:v>2.4311886588642211</c:v>
                </c:pt>
                <c:pt idx="18">
                  <c:v>2.4846966282952727</c:v>
                </c:pt>
                <c:pt idx="19">
                  <c:v>2.5382045977263243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BA75-41F9-BAFB-74D5FA41F9F9}"/>
            </c:ext>
          </c:extLst>
        </c:ser>
        <c:ser>
          <c:idx val="5"/>
          <c:order val="5"/>
          <c:tx>
            <c:v>H2 offshore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Calculations!$P$232:$AI$232</c:f>
              <c:numCache>
                <c:formatCode>0.00</c:formatCode>
                <c:ptCount val="20"/>
                <c:pt idx="0">
                  <c:v>1.4180250088300619</c:v>
                </c:pt>
                <c:pt idx="1">
                  <c:v>1.4370019909552318</c:v>
                </c:pt>
                <c:pt idx="2">
                  <c:v>1.455978973080402</c:v>
                </c:pt>
                <c:pt idx="3">
                  <c:v>1.474955955205572</c:v>
                </c:pt>
                <c:pt idx="4">
                  <c:v>1.4940434580721287</c:v>
                </c:pt>
                <c:pt idx="5">
                  <c:v>1.5131309609386852</c:v>
                </c:pt>
                <c:pt idx="6">
                  <c:v>1.5322184638052418</c:v>
                </c:pt>
                <c:pt idx="7">
                  <c:v>1.5514901679074424</c:v>
                </c:pt>
                <c:pt idx="8">
                  <c:v>1.5707618720096432</c:v>
                </c:pt>
                <c:pt idx="9">
                  <c:v>1.5900335761118438</c:v>
                </c:pt>
                <c:pt idx="10">
                  <c:v>1.6093052802140444</c:v>
                </c:pt>
                <c:pt idx="11">
                  <c:v>1.628576984316245</c:v>
                </c:pt>
                <c:pt idx="12">
                  <c:v>1.6478486884184458</c:v>
                </c:pt>
                <c:pt idx="13">
                  <c:v>1.6671203925206464</c:v>
                </c:pt>
                <c:pt idx="14">
                  <c:v>1.6866315582291844</c:v>
                </c:pt>
                <c:pt idx="15">
                  <c:v>1.7061427239377223</c:v>
                </c:pt>
                <c:pt idx="16">
                  <c:v>1.7256538896462603</c:v>
                </c:pt>
                <c:pt idx="17">
                  <c:v>1.7451650553547984</c:v>
                </c:pt>
                <c:pt idx="18">
                  <c:v>1.7646762210633362</c:v>
                </c:pt>
                <c:pt idx="19">
                  <c:v>1.7841873867718743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A75-41F9-BAFB-74D5FA41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ser>
          <c:idx val="0"/>
          <c:order val="0"/>
          <c:tx>
            <c:v>electricity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Calculations!$F$211:$J$211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105</c:v>
                </c:pt>
                <c:pt idx="3">
                  <c:v>210</c:v>
                </c:pt>
                <c:pt idx="4">
                  <c:v>300</c:v>
                </c:pt>
              </c:numCache>
            </c:numRef>
          </c:cat>
          <c:val>
            <c:numRef>
              <c:f>Calculations!$P$226:$AI$226</c:f>
              <c:numCache>
                <c:formatCode>0.0</c:formatCode>
                <c:ptCount val="20"/>
                <c:pt idx="0">
                  <c:v>39.816038932302241</c:v>
                </c:pt>
                <c:pt idx="1">
                  <c:v>40.899482709302276</c:v>
                </c:pt>
                <c:pt idx="2">
                  <c:v>41.982926486302304</c:v>
                </c:pt>
                <c:pt idx="3">
                  <c:v>43.066370263302339</c:v>
                </c:pt>
                <c:pt idx="4">
                  <c:v>44.165047804386738</c:v>
                </c:pt>
                <c:pt idx="5">
                  <c:v>45.263725345471144</c:v>
                </c:pt>
                <c:pt idx="6">
                  <c:v>46.362402886555543</c:v>
                </c:pt>
                <c:pt idx="7">
                  <c:v>47.486470034447223</c:v>
                </c:pt>
                <c:pt idx="8">
                  <c:v>48.610537182338902</c:v>
                </c:pt>
                <c:pt idx="9">
                  <c:v>49.734604330230582</c:v>
                </c:pt>
                <c:pt idx="10">
                  <c:v>50.858671478122261</c:v>
                </c:pt>
                <c:pt idx="11">
                  <c:v>51.982738626013941</c:v>
                </c:pt>
                <c:pt idx="12">
                  <c:v>53.10680577390562</c:v>
                </c:pt>
                <c:pt idx="13">
                  <c:v>54.2308729217973</c:v>
                </c:pt>
                <c:pt idx="14">
                  <c:v>55.387946558538438</c:v>
                </c:pt>
                <c:pt idx="15">
                  <c:v>56.545020195279584</c:v>
                </c:pt>
                <c:pt idx="16">
                  <c:v>57.702093832020722</c:v>
                </c:pt>
                <c:pt idx="17">
                  <c:v>58.859167468761861</c:v>
                </c:pt>
                <c:pt idx="18">
                  <c:v>60.016241105503006</c:v>
                </c:pt>
                <c:pt idx="19">
                  <c:v>61.173314742244145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BA75-41F9-BAFB-74D5FA41F9F9}"/>
            </c:ext>
          </c:extLst>
        </c:ser>
        <c:ser>
          <c:idx val="3"/>
          <c:order val="3"/>
          <c:tx>
            <c:v>electricity 2050</c:v>
          </c:tx>
          <c:spPr>
            <a:ln w="28575" cap="rnd">
              <a:solidFill>
                <a:schemeClr val="accent1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Calculations!$F$211:$J$211</c:f>
              <c:numCache>
                <c:formatCode>General</c:formatCode>
                <c:ptCount val="5"/>
                <c:pt idx="0">
                  <c:v>50</c:v>
                </c:pt>
                <c:pt idx="1">
                  <c:v>60</c:v>
                </c:pt>
                <c:pt idx="2">
                  <c:v>105</c:v>
                </c:pt>
                <c:pt idx="3">
                  <c:v>210</c:v>
                </c:pt>
                <c:pt idx="4">
                  <c:v>300</c:v>
                </c:pt>
              </c:numCache>
            </c:numRef>
          </c:cat>
          <c:val>
            <c:numRef>
              <c:f>Calculations!$P$230:$AI$230</c:f>
              <c:numCache>
                <c:formatCode>0.0</c:formatCode>
                <c:ptCount val="20"/>
                <c:pt idx="0">
                  <c:v>29.178852007704304</c:v>
                </c:pt>
                <c:pt idx="1">
                  <c:v>30.264150501741032</c:v>
                </c:pt>
                <c:pt idx="2">
                  <c:v>31.349448995777763</c:v>
                </c:pt>
                <c:pt idx="3">
                  <c:v>32.434747489814491</c:v>
                </c:pt>
                <c:pt idx="4">
                  <c:v>33.539200279273999</c:v>
                </c:pt>
                <c:pt idx="5">
                  <c:v>34.643653068733506</c:v>
                </c:pt>
                <c:pt idx="6">
                  <c:v>35.748105858193014</c:v>
                </c:pt>
                <c:pt idx="7">
                  <c:v>36.884812077465511</c:v>
                </c:pt>
                <c:pt idx="8">
                  <c:v>38.021518296738002</c:v>
                </c:pt>
                <c:pt idx="9">
                  <c:v>39.158224516010499</c:v>
                </c:pt>
                <c:pt idx="10">
                  <c:v>40.294930735282989</c:v>
                </c:pt>
                <c:pt idx="11">
                  <c:v>41.431636954555486</c:v>
                </c:pt>
                <c:pt idx="12">
                  <c:v>42.568343173827976</c:v>
                </c:pt>
                <c:pt idx="13">
                  <c:v>43.705049393100474</c:v>
                </c:pt>
                <c:pt idx="14">
                  <c:v>44.884212437703241</c:v>
                </c:pt>
                <c:pt idx="15">
                  <c:v>46.063375482306014</c:v>
                </c:pt>
                <c:pt idx="16">
                  <c:v>47.242538526908781</c:v>
                </c:pt>
                <c:pt idx="17">
                  <c:v>48.421701571511548</c:v>
                </c:pt>
                <c:pt idx="18">
                  <c:v>49.600864616114322</c:v>
                </c:pt>
                <c:pt idx="19">
                  <c:v>50.780027660717089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BA75-41F9-BAFB-74D5FA41F9F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valAx>
        <c:axId val="632082080"/>
        <c:scaling>
          <c:orientation val="minMax"/>
          <c:max val="70"/>
          <c:min val="10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5">
                        <a:lumMod val="50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5">
                        <a:lumMod val="50000"/>
                      </a:schemeClr>
                    </a:solidFill>
                  </a:rPr>
                  <a:t>electricity</a:t>
                </a:r>
                <a:r>
                  <a:rPr lang="nl-NL" sz="1400" b="1" baseline="0">
                    <a:solidFill>
                      <a:schemeClr val="accent5">
                        <a:lumMod val="50000"/>
                      </a:schemeClr>
                    </a:solidFill>
                  </a:rPr>
                  <a:t> €/MWh</a:t>
                </a:r>
                <a:endParaRPr lang="nl-NL" sz="1400" b="1">
                  <a:solidFill>
                    <a:schemeClr val="accent5">
                      <a:lumMod val="50000"/>
                    </a:schemeClr>
                  </a:solidFill>
                </a:endParaRP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5">
                      <a:lumMod val="50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5">
                    <a:lumMod val="50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Depth dependency (60 km to</a:t>
            </a:r>
            <a:r>
              <a:rPr lang="nl-NL" b="1" baseline="0">
                <a:solidFill>
                  <a:sysClr val="windowText" lastClr="000000"/>
                </a:solidFill>
              </a:rPr>
              <a:t> coast)</a:t>
            </a:r>
            <a:endParaRPr lang="nl-NL" b="1">
              <a:solidFill>
                <a:sysClr val="windowText" lastClr="000000"/>
              </a:solidFill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1"/>
          <c:tx>
            <c:v>H2 onshore FB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Calculations!$E$191:$L$191</c:f>
              <c:numCache>
                <c:formatCode>0.00</c:formatCode>
                <c:ptCount val="8"/>
                <c:pt idx="0">
                  <c:v>1.9777387258908272</c:v>
                </c:pt>
                <c:pt idx="1">
                  <c:v>2.0089854533748626</c:v>
                </c:pt>
                <c:pt idx="2">
                  <c:v>2.0590829272645292</c:v>
                </c:pt>
                <c:pt idx="3">
                  <c:v>2.1140203959622466</c:v>
                </c:pt>
                <c:pt idx="4">
                  <c:v>2.1745488892127236</c:v>
                </c:pt>
                <c:pt idx="5">
                  <c:v>2.2415832965951243</c:v>
                </c:pt>
                <c:pt idx="6">
                  <c:v>2.3162496347822268</c:v>
                </c:pt>
                <c:pt idx="7">
                  <c:v>2.3999496782813257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291-4107-B883-1A127BF1765D}"/>
            </c:ext>
          </c:extLst>
        </c:ser>
        <c:ser>
          <c:idx val="2"/>
          <c:order val="2"/>
          <c:tx>
            <c:v>H2 offshore FB 2035</c:v>
          </c:tx>
          <c:spPr>
            <a:ln w="28575" cap="rnd">
              <a:solidFill>
                <a:schemeClr val="accent2">
                  <a:lumMod val="50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Calculations!$E$192:$L$192</c:f>
              <c:numCache>
                <c:formatCode>0.00</c:formatCode>
                <c:ptCount val="8"/>
                <c:pt idx="0">
                  <c:v>1.5763514004042682</c:v>
                </c:pt>
                <c:pt idx="1">
                  <c:v>1.6075981278883034</c:v>
                </c:pt>
                <c:pt idx="2">
                  <c:v>1.6572151760757468</c:v>
                </c:pt>
                <c:pt idx="3">
                  <c:v>1.7116722190712403</c:v>
                </c:pt>
                <c:pt idx="4">
                  <c:v>1.7717202866194941</c:v>
                </c:pt>
                <c:pt idx="5">
                  <c:v>1.8382742682996713</c:v>
                </c:pt>
                <c:pt idx="6">
                  <c:v>1.9124601807845509</c:v>
                </c:pt>
                <c:pt idx="7">
                  <c:v>1.9956797985814256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291-4107-B883-1A127BF1765D}"/>
            </c:ext>
          </c:extLst>
        </c:ser>
        <c:ser>
          <c:idx val="4"/>
          <c:order val="4"/>
          <c:tx>
            <c:v>H2 onshore FB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Calculations!$E$198:$L$198</c:f>
              <c:numCache>
                <c:formatCode>0.00</c:formatCode>
                <c:ptCount val="8"/>
                <c:pt idx="0">
                  <c:v>1.3942436332241652</c:v>
                </c:pt>
                <c:pt idx="1">
                  <c:v>1.4194286226829462</c:v>
                </c:pt>
                <c:pt idx="2">
                  <c:v>1.4598560697319154</c:v>
                </c:pt>
                <c:pt idx="3">
                  <c:v>1.5041853680468125</c:v>
                </c:pt>
                <c:pt idx="4">
                  <c:v>1.5530219750740282</c:v>
                </c:pt>
                <c:pt idx="5">
                  <c:v>1.6071034473846548</c:v>
                </c:pt>
                <c:pt idx="6">
                  <c:v>1.6673375461907836</c:v>
                </c:pt>
                <c:pt idx="7">
                  <c:v>1.7348543408058759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5291-4107-B883-1A127BF1765D}"/>
            </c:ext>
          </c:extLst>
        </c:ser>
        <c:ser>
          <c:idx val="5"/>
          <c:order val="5"/>
          <c:tx>
            <c:v>H2 offshore FB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Calculations!$E$199:$L$199</c:f>
              <c:numCache>
                <c:formatCode>0.00</c:formatCode>
                <c:ptCount val="8"/>
                <c:pt idx="0">
                  <c:v>1.2359785169987918</c:v>
                </c:pt>
                <c:pt idx="1">
                  <c:v>1.2611635064575728</c:v>
                </c:pt>
                <c:pt idx="2">
                  <c:v>1.3011770153013462</c:v>
                </c:pt>
                <c:pt idx="3">
                  <c:v>1.3450923754110471</c:v>
                </c:pt>
                <c:pt idx="4">
                  <c:v>1.393515044233067</c:v>
                </c:pt>
                <c:pt idx="5">
                  <c:v>1.4471825783384973</c:v>
                </c:pt>
                <c:pt idx="6">
                  <c:v>1.50700273893943</c:v>
                </c:pt>
                <c:pt idx="7">
                  <c:v>1.5741055953493261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5291-4107-B883-1A127BF1765D}"/>
            </c:ext>
          </c:extLst>
        </c:ser>
        <c:ser>
          <c:idx val="7"/>
          <c:order val="7"/>
          <c:tx>
            <c:v>H2 onshore float 2050</c:v>
          </c:tx>
          <c:spPr>
            <a:ln w="63500" cap="rnd">
              <a:solidFill>
                <a:schemeClr val="accent1"/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Calculations!$E$206:$L$206</c:f>
              <c:numCache>
                <c:formatCode>0.00</c:formatCode>
                <c:ptCount val="8"/>
                <c:pt idx="0">
                  <c:v>1.7021403977656824</c:v>
                </c:pt>
                <c:pt idx="1">
                  <c:v>1.7055451463091083</c:v>
                </c:pt>
                <c:pt idx="2">
                  <c:v>1.7096912333213976</c:v>
                </c:pt>
                <c:pt idx="3">
                  <c:v>1.713837320333687</c:v>
                </c:pt>
                <c:pt idx="4">
                  <c:v>1.7179834073459765</c:v>
                </c:pt>
                <c:pt idx="5">
                  <c:v>1.7221294943582659</c:v>
                </c:pt>
                <c:pt idx="6">
                  <c:v>1.7262755813705553</c:v>
                </c:pt>
                <c:pt idx="7">
                  <c:v>1.7304216683828448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4-5291-4107-B883-1A127BF1765D}"/>
            </c:ext>
          </c:extLst>
        </c:ser>
        <c:ser>
          <c:idx val="8"/>
          <c:order val="8"/>
          <c:tx>
            <c:v>H2 offshore float 2050</c:v>
          </c:tx>
          <c:spPr>
            <a:ln w="63500" cap="rnd">
              <a:solidFill>
                <a:schemeClr val="accent6">
                  <a:lumMod val="75000"/>
                </a:schemeClr>
              </a:solidFill>
              <a:prstDash val="sysDot"/>
              <a:round/>
            </a:ln>
            <a:effectLst/>
          </c:spPr>
          <c:marker>
            <c:symbol val="none"/>
          </c:marker>
          <c:cat>
            <c:numRef>
              <c:f>Calculations!$V$196:$AC$196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Calculations!$E$207:$L$207</c:f>
              <c:numCache>
                <c:formatCode>0.00</c:formatCode>
                <c:ptCount val="8"/>
                <c:pt idx="0">
                  <c:v>1.4715005316141849</c:v>
                </c:pt>
                <c:pt idx="1">
                  <c:v>1.474955955205572</c:v>
                </c:pt>
                <c:pt idx="2">
                  <c:v>1.4787387790606268</c:v>
                </c:pt>
                <c:pt idx="3">
                  <c:v>1.4825216029156811</c:v>
                </c:pt>
                <c:pt idx="4">
                  <c:v>1.4863044267707357</c:v>
                </c:pt>
                <c:pt idx="5">
                  <c:v>1.4900872506257903</c:v>
                </c:pt>
                <c:pt idx="6">
                  <c:v>1.4938700744808449</c:v>
                </c:pt>
                <c:pt idx="7">
                  <c:v>1.4976528983358997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5-5291-4107-B883-1A127BF1765D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59114496"/>
        <c:axId val="459107936"/>
      </c:lineChart>
      <c:lineChart>
        <c:grouping val="standard"/>
        <c:varyColors val="0"/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632081752"/>
        <c:axId val="632082080"/>
        <c:extLst>
          <c:ext xmlns:c15="http://schemas.microsoft.com/office/drawing/2012/chart" uri="{02D57815-91ED-43cb-92C2-25804820EDAC}">
            <c15:filteredLineSeries>
              <c15:ser>
                <c:idx val="0"/>
                <c:order val="0"/>
                <c:tx>
                  <c:v>electricity 2035</c:v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round/>
                  </a:ln>
                  <a:effectLst/>
                </c:spPr>
                <c:marker>
                  <c:symbol val="none"/>
                </c:marker>
                <c:cat>
                  <c:numRef>
                    <c:extLst>
                      <c:ext uri="{02D57815-91ED-43cb-92C2-25804820EDAC}">
                        <c15:formulaRef>
                          <c15:sqref>Calculations!$E$180:$L$180</c15:sqref>
                        </c15:formulaRef>
                      </c:ext>
                    </c:extLst>
                    <c:numCache>
                      <c:formatCode>General</c:formatCode>
                      <c:ptCount val="8"/>
                      <c:pt idx="0">
                        <c:v>75</c:v>
                      </c:pt>
                      <c:pt idx="1">
                        <c:v>30</c:v>
                      </c:pt>
                      <c:pt idx="2">
                        <c:v>45</c:v>
                      </c:pt>
                      <c:pt idx="3">
                        <c:v>60</c:v>
                      </c:pt>
                      <c:pt idx="4">
                        <c:v>75</c:v>
                      </c:pt>
                      <c:pt idx="5">
                        <c:v>90</c:v>
                      </c:pt>
                      <c:pt idx="6">
                        <c:v>105</c:v>
                      </c:pt>
                      <c:pt idx="7">
                        <c:v>120</c:v>
                      </c:pt>
                    </c:numCache>
                  </c:numRef>
                </c:cat>
                <c:val>
                  <c:numRef>
                    <c:extLst>
                      <c:ext uri="{02D57815-91ED-43cb-92C2-25804820EDAC}">
                        <c15:formulaRef>
                          <c15:sqref>Calculations!$E$190:$L$190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29.635612937868899</c:v>
                      </c:pt>
                      <c:pt idx="1">
                        <c:v>30.254954250413174</c:v>
                      </c:pt>
                      <c:pt idx="2">
                        <c:v>31.248426865473331</c:v>
                      </c:pt>
                      <c:pt idx="3">
                        <c:v>32.337899220893959</c:v>
                      </c:pt>
                      <c:pt idx="4">
                        <c:v>33.5382678281103</c:v>
                      </c:pt>
                      <c:pt idx="5">
                        <c:v>34.867679346507089</c:v>
                      </c:pt>
                      <c:pt idx="6">
                        <c:v>36.348468126096357</c:v>
                      </c:pt>
                      <c:pt idx="7">
                        <c:v>38.008438153627708</c:v>
                      </c:pt>
                    </c:numCache>
                  </c:numRef>
                </c:val>
                <c:smooth val="0"/>
                <c:extLst>
                  <c:ext xmlns:c16="http://schemas.microsoft.com/office/drawing/2014/chart" uri="{C3380CC4-5D6E-409C-BE32-E72D297353CC}">
                    <c16:uniqueId val="{00000006-5291-4107-B883-1A127BF1765D}"/>
                  </c:ext>
                </c:extLst>
              </c15:ser>
            </c15:filteredLineSeries>
            <c15:filteredLineSeries>
              <c15:ser>
                <c:idx val="3"/>
                <c:order val="3"/>
                <c:tx>
                  <c:v>electricity 2050</c:v>
                </c:tx>
                <c:spPr>
                  <a:ln w="28575" cap="rnd">
                    <a:solidFill>
                      <a:schemeClr val="accent5">
                        <a:lumMod val="50000"/>
                      </a:schemeClr>
                    </a:solidFill>
                    <a:prstDash val="sys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Calculations!$E$197:$L$197</c15:sqref>
                        </c15:formulaRef>
                      </c:ext>
                    </c:extLst>
                    <c:numCache>
                      <c:formatCode>0.0</c:formatCode>
                      <c:ptCount val="8"/>
                      <c:pt idx="0">
                        <c:v>27.479577829813501</c:v>
                      </c:pt>
                      <c:pt idx="1">
                        <c:v>28.03056933623705</c:v>
                      </c:pt>
                      <c:pt idx="2">
                        <c:v>28.915325112014898</c:v>
                      </c:pt>
                      <c:pt idx="3">
                        <c:v>29.885486205484522</c:v>
                      </c:pt>
                      <c:pt idx="4">
                        <c:v>30.954305165942902</c:v>
                      </c:pt>
                      <c:pt idx="5">
                        <c:v>32.137926007988227</c:v>
                      </c:pt>
                      <c:pt idx="6">
                        <c:v>33.456218288048994</c:v>
                      </c:pt>
                      <c:pt idx="7">
                        <c:v>34.93391757637292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7-5291-4107-B883-1A127BF1765D}"/>
                  </c:ext>
                </c:extLst>
              </c15:ser>
            </c15:filteredLineSeries>
            <c15:filteredLineSeries>
              <c15:ser>
                <c:idx val="6"/>
                <c:order val="6"/>
                <c:tx>
                  <c:v>electr float 2050</c:v>
                </c:tx>
                <c:spPr>
                  <a:ln w="28575" cap="rnd">
                    <a:solidFill>
                      <a:schemeClr val="accent5">
                        <a:lumMod val="50000"/>
                        <a:alpha val="30000"/>
                      </a:schemeClr>
                    </a:solidFill>
                    <a:prstDash val="dash"/>
                    <a:round/>
                  </a:ln>
                  <a:effectLst/>
                </c:spPr>
                <c:marker>
                  <c:symbol val="none"/>
                </c:marker>
                <c:val>
                  <c:numRef>
                    <c:extLst xmlns:c15="http://schemas.microsoft.com/office/drawing/2012/chart">
                      <c:ext xmlns:c15="http://schemas.microsoft.com/office/drawing/2012/chart" uri="{02D57815-91ED-43cb-92C2-25804820EDAC}">
                        <c15:formulaRef>
                          <c15:sqref>Calculations!$V$197:$AB$197</c15:sqref>
                        </c15:formulaRef>
                      </c:ext>
                    </c:extLst>
                    <c:numCache>
                      <c:formatCode>0.0</c:formatCode>
                      <c:ptCount val="7"/>
                      <c:pt idx="0">
                        <c:v>31.98028493620787</c:v>
                      </c:pt>
                      <c:pt idx="1">
                        <c:v>31.98028493620787</c:v>
                      </c:pt>
                      <c:pt idx="2">
                        <c:v>31.98028493620787</c:v>
                      </c:pt>
                      <c:pt idx="3">
                        <c:v>31.98028493620787</c:v>
                      </c:pt>
                      <c:pt idx="4">
                        <c:v>31.98028493620787</c:v>
                      </c:pt>
                      <c:pt idx="5">
                        <c:v>31.98028493620787</c:v>
                      </c:pt>
                      <c:pt idx="6">
                        <c:v>31.98028493620787</c:v>
                      </c:pt>
                    </c:numCache>
                  </c:numRef>
                </c:val>
                <c:smooth val="0"/>
                <c:extLst xmlns:c15="http://schemas.microsoft.com/office/drawing/2012/chart">
                  <c:ext xmlns:c16="http://schemas.microsoft.com/office/drawing/2014/chart" uri="{C3380CC4-5D6E-409C-BE32-E72D297353CC}">
                    <c16:uniqueId val="{00000008-5291-4107-B883-1A127BF1765D}"/>
                  </c:ext>
                </c:extLst>
              </c15:ser>
            </c15:filteredLineSeries>
          </c:ext>
        </c:extLst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Water depth [m]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ax val="3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midCat"/>
      </c:valAx>
      <c:valAx>
        <c:axId val="632082080"/>
        <c:scaling>
          <c:orientation val="minMax"/>
          <c:max val="70"/>
          <c:min val="10"/>
        </c:scaling>
        <c:delete val="1"/>
        <c:axPos val="r"/>
        <c:numFmt formatCode="0.0" sourceLinked="1"/>
        <c:majorTickMark val="out"/>
        <c:minorTickMark val="none"/>
        <c:tickLblPos val="nextTo"/>
        <c:crossAx val="632081752"/>
        <c:crosses val="max"/>
        <c:crossBetween val="between"/>
      </c:valAx>
      <c:catAx>
        <c:axId val="632081752"/>
        <c:scaling>
          <c:orientation val="minMax"/>
        </c:scaling>
        <c:delete val="1"/>
        <c:axPos val="b"/>
        <c:numFmt formatCode="General" sourceLinked="1"/>
        <c:majorTickMark val="out"/>
        <c:minorTickMark val="none"/>
        <c:tickLblPos val="nextTo"/>
        <c:crossAx val="63208208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sz="1400" b="1" i="0" baseline="0">
                <a:solidFill>
                  <a:sysClr val="windowText" lastClr="000000"/>
                </a:solidFill>
                <a:effectLst/>
              </a:rPr>
              <a:t>Depth dependency (60 km to coast)</a:t>
            </a:r>
            <a:endParaRPr lang="nl-NL" sz="1400" b="1">
              <a:solidFill>
                <a:sysClr val="windowText" lastClr="000000"/>
              </a:solidFill>
              <a:effectLst/>
            </a:endParaRP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Floating 2050</c:v>
          </c:tx>
          <c:spPr>
            <a:ln w="28575" cap="rnd">
              <a:solidFill>
                <a:schemeClr val="accent1"/>
              </a:solidFill>
              <a:prstDash val="dash"/>
              <a:round/>
            </a:ln>
            <a:effectLst/>
          </c:spPr>
          <c:marker>
            <c:symbol val="none"/>
          </c:marker>
          <c:cat>
            <c:numRef>
              <c:f>Calculations!$V$189:$AC$189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Calculations!$E$205:$L$205</c:f>
              <c:numCache>
                <c:formatCode>0.0</c:formatCode>
                <c:ptCount val="8"/>
                <c:pt idx="0">
                  <c:v>32.35911308987238</c:v>
                </c:pt>
                <c:pt idx="1">
                  <c:v>32.434747489814491</c:v>
                </c:pt>
                <c:pt idx="2">
                  <c:v>32.526850269001457</c:v>
                </c:pt>
                <c:pt idx="3">
                  <c:v>32.618953048188423</c:v>
                </c:pt>
                <c:pt idx="4">
                  <c:v>32.711055827375382</c:v>
                </c:pt>
                <c:pt idx="5">
                  <c:v>32.803158606562349</c:v>
                </c:pt>
                <c:pt idx="6">
                  <c:v>32.895261385749315</c:v>
                </c:pt>
                <c:pt idx="7">
                  <c:v>32.987364164936288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6CA3-4DEC-AFE5-D17071A984DE}"/>
            </c:ext>
          </c:extLst>
        </c:ser>
        <c:ser>
          <c:idx val="1"/>
          <c:order val="1"/>
          <c:tx>
            <c:v>Floating 2035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Calculations!$V$189:$AC$189</c:f>
              <c:numCache>
                <c:formatCode>General</c:formatCode>
                <c:ptCount val="8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 formatCode="0">
                  <c:v>60</c:v>
                </c:pt>
                <c:pt idx="4" formatCode="0">
                  <c:v>75</c:v>
                </c:pt>
                <c:pt idx="5">
                  <c:v>90</c:v>
                </c:pt>
                <c:pt idx="6" formatCode="0">
                  <c:v>105</c:v>
                </c:pt>
                <c:pt idx="7">
                  <c:v>120</c:v>
                </c:pt>
              </c:numCache>
            </c:numRef>
          </c:cat>
          <c:val>
            <c:numRef>
              <c:f>Calculations!$E$201:$L$201</c:f>
              <c:numCache>
                <c:formatCode>0.0</c:formatCode>
                <c:ptCount val="8"/>
                <c:pt idx="0">
                  <c:v>42.91071409797312</c:v>
                </c:pt>
                <c:pt idx="1">
                  <c:v>43.066370263302339</c:v>
                </c:pt>
                <c:pt idx="2">
                  <c:v>43.239501683360324</c:v>
                </c:pt>
                <c:pt idx="3">
                  <c:v>43.412633103418315</c:v>
                </c:pt>
                <c:pt idx="4">
                  <c:v>43.5857645234763</c:v>
                </c:pt>
                <c:pt idx="5">
                  <c:v>43.758895943534306</c:v>
                </c:pt>
                <c:pt idx="6">
                  <c:v>43.932027363592283</c:v>
                </c:pt>
                <c:pt idx="7">
                  <c:v>44.105158783650268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6CA3-4DEC-AFE5-D17071A984DE}"/>
            </c:ext>
          </c:extLst>
        </c:ser>
        <c:ser>
          <c:idx val="2"/>
          <c:order val="2"/>
          <c:tx>
            <c:v>Fixed bottom 2035</c:v>
          </c:tx>
          <c:spPr>
            <a:ln w="28575" cap="rnd">
              <a:solidFill>
                <a:schemeClr val="accent6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val>
            <c:numRef>
              <c:f>Calculations!$E$190:$L$190</c:f>
              <c:numCache>
                <c:formatCode>0.0</c:formatCode>
                <c:ptCount val="8"/>
                <c:pt idx="0">
                  <c:v>29.635612937868899</c:v>
                </c:pt>
                <c:pt idx="1">
                  <c:v>30.254954250413174</c:v>
                </c:pt>
                <c:pt idx="2">
                  <c:v>31.248426865473331</c:v>
                </c:pt>
                <c:pt idx="3">
                  <c:v>32.337899220893959</c:v>
                </c:pt>
                <c:pt idx="4">
                  <c:v>33.5382678281103</c:v>
                </c:pt>
                <c:pt idx="5">
                  <c:v>34.867679346507089</c:v>
                </c:pt>
                <c:pt idx="6">
                  <c:v>36.348468126096357</c:v>
                </c:pt>
                <c:pt idx="7">
                  <c:v>38.008438153627708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6CA3-4DEC-AFE5-D17071A984DE}"/>
            </c:ext>
          </c:extLst>
        </c:ser>
        <c:ser>
          <c:idx val="3"/>
          <c:order val="3"/>
          <c:tx>
            <c:v>Fixed bottom 2050</c:v>
          </c:tx>
          <c:spPr>
            <a:ln w="28575" cap="rnd">
              <a:solidFill>
                <a:schemeClr val="accent6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Calculations!$E$197:$L$197</c:f>
              <c:numCache>
                <c:formatCode>0.0</c:formatCode>
                <c:ptCount val="8"/>
                <c:pt idx="0">
                  <c:v>27.479577829813501</c:v>
                </c:pt>
                <c:pt idx="1">
                  <c:v>28.03056933623705</c:v>
                </c:pt>
                <c:pt idx="2">
                  <c:v>28.915325112014898</c:v>
                </c:pt>
                <c:pt idx="3">
                  <c:v>29.885486205484522</c:v>
                </c:pt>
                <c:pt idx="4">
                  <c:v>30.954305165942902</c:v>
                </c:pt>
                <c:pt idx="5">
                  <c:v>32.137926007988227</c:v>
                </c:pt>
                <c:pt idx="6">
                  <c:v>33.456218288048994</c:v>
                </c:pt>
                <c:pt idx="7">
                  <c:v>34.93391757637292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6CA3-4DEC-AFE5-D17071A984D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88164192"/>
        <c:axId val="488164520"/>
      </c:lineChart>
      <c:catAx>
        <c:axId val="488164192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200" b="1">
                    <a:solidFill>
                      <a:sysClr val="windowText" lastClr="000000"/>
                    </a:solidFill>
                  </a:rPr>
                  <a:t>Water depth (m)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accent6">
                <a:lumMod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4520"/>
        <c:crosses val="autoZero"/>
        <c:auto val="1"/>
        <c:lblAlgn val="ctr"/>
        <c:lblOffset val="100"/>
        <c:noMultiLvlLbl val="0"/>
      </c:catAx>
      <c:valAx>
        <c:axId val="488164520"/>
        <c:scaling>
          <c:orientation val="minMax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1">
                        <a:lumMod val="7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chemeClr val="accent1">
                        <a:lumMod val="75000"/>
                      </a:schemeClr>
                    </a:solidFill>
                  </a:rPr>
                  <a:t>electricity (incl. grid) 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1">
                      <a:lumMod val="75000"/>
                    </a:schemeClr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1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8164192"/>
        <c:crosses val="autoZero"/>
        <c:crossBetween val="midCat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60 km to shore; 30 m. water depth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WACC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val>
            <c:numRef>
              <c:f>Results!$O$14:$Q$14</c:f>
              <c:numCache>
                <c:formatCode>0.0</c:formatCode>
                <c:ptCount val="3"/>
                <c:pt idx="0">
                  <c:v>26.457417742322793</c:v>
                </c:pt>
                <c:pt idx="1">
                  <c:v>30.254954250413174</c:v>
                </c:pt>
                <c:pt idx="2">
                  <c:v>34.395219451844298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E4A-41DD-95B6-987079D08165}"/>
            </c:ext>
          </c:extLst>
        </c:ser>
        <c:ser>
          <c:idx val="1"/>
          <c:order val="1"/>
          <c:tx>
            <c:v>Slenderness ratio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Results!$R$14:$T$14</c:f>
              <c:numCache>
                <c:formatCode>0.0</c:formatCode>
                <c:ptCount val="3"/>
                <c:pt idx="0">
                  <c:v>32.370344855691108</c:v>
                </c:pt>
                <c:pt idx="1">
                  <c:v>30.254954250413174</c:v>
                </c:pt>
                <c:pt idx="2">
                  <c:v>29.549824048653861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E4A-41DD-95B6-987079D08165}"/>
            </c:ext>
          </c:extLst>
        </c:ser>
        <c:ser>
          <c:idx val="2"/>
          <c:order val="2"/>
          <c:tx>
            <c:v>O&amp;M</c:v>
          </c:tx>
          <c:spPr>
            <a:ln w="28575" cap="rnd">
              <a:solidFill>
                <a:schemeClr val="accent3"/>
              </a:solidFill>
              <a:round/>
            </a:ln>
            <a:effectLst/>
          </c:spPr>
          <c:marker>
            <c:symbol val="none"/>
          </c:marker>
          <c:val>
            <c:numRef>
              <c:f>Results!$U$14:$W$14</c:f>
              <c:numCache>
                <c:formatCode>0.0</c:formatCode>
                <c:ptCount val="3"/>
                <c:pt idx="0">
                  <c:v>27.516346647864498</c:v>
                </c:pt>
                <c:pt idx="1">
                  <c:v>30.254954250413174</c:v>
                </c:pt>
                <c:pt idx="2">
                  <c:v>33.568718314462807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1CCE-47D6-B4DF-C22262D9E919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7723832"/>
        <c:axId val="617724160"/>
      </c:lineChart>
      <c:catAx>
        <c:axId val="617723832"/>
        <c:scaling>
          <c:orientation val="minMax"/>
        </c:scaling>
        <c:delete val="1"/>
        <c:axPos val="b"/>
        <c:majorTickMark val="none"/>
        <c:minorTickMark val="none"/>
        <c:tickLblPos val="nextTo"/>
        <c:crossAx val="617724160"/>
        <c:crosses val="autoZero"/>
        <c:auto val="1"/>
        <c:lblAlgn val="ctr"/>
        <c:lblOffset val="100"/>
        <c:noMultiLvlLbl val="0"/>
      </c:catAx>
      <c:valAx>
        <c:axId val="617724160"/>
        <c:scaling>
          <c:orientation val="minMax"/>
          <c:max val="35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LCOE 2035 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77238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0" i="0" u="none" strike="noStrike" kern="1200" spc="0" baseline="0">
              <a:solidFill>
                <a:schemeClr val="tx1">
                  <a:lumMod val="65000"/>
                  <a:lumOff val="3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Electrolyser CAPEX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Results!$O$18:$Q$18</c:f>
              <c:numCache>
                <c:formatCode>#,##0_ ;\-#,##0\ </c:formatCode>
                <c:ptCount val="3"/>
                <c:pt idx="0">
                  <c:v>100</c:v>
                </c:pt>
                <c:pt idx="1">
                  <c:v>200</c:v>
                </c:pt>
                <c:pt idx="2">
                  <c:v>475</c:v>
                </c:pt>
              </c:numCache>
            </c:numRef>
          </c:cat>
          <c:val>
            <c:numRef>
              <c:f>Results!$O$19:$Q$19</c:f>
              <c:numCache>
                <c:formatCode>0.00</c:formatCode>
                <c:ptCount val="3"/>
                <c:pt idx="0">
                  <c:v>1.4301077653775123</c:v>
                </c:pt>
                <c:pt idx="1">
                  <c:v>1.6075981278883034</c:v>
                </c:pt>
                <c:pt idx="2" formatCode="0.0">
                  <c:v>2.0956966247929794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9FB0-4539-8DF5-762EA195CC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57253256"/>
        <c:axId val="557253912"/>
      </c:lineChart>
      <c:catAx>
        <c:axId val="557253256"/>
        <c:scaling>
          <c:orientation val="minMax"/>
        </c:scaling>
        <c:delete val="0"/>
        <c:axPos val="b"/>
        <c:numFmt formatCode="#,##0_ ;\-#,##0\ 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53912"/>
        <c:crosses val="autoZero"/>
        <c:auto val="1"/>
        <c:lblAlgn val="ctr"/>
        <c:lblOffset val="100"/>
        <c:noMultiLvlLbl val="0"/>
      </c:catAx>
      <c:valAx>
        <c:axId val="55725391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LCOH 2035 €/kg H2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725325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7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Onshore received energy prices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510478750377568"/>
          <c:y val="0.11299284516400206"/>
          <c:w val="0.85463738267098543"/>
          <c:h val="0.58758825874515253"/>
        </c:manualLayout>
      </c:layout>
      <c:lineChart>
        <c:grouping val="standard"/>
        <c:varyColors val="0"/>
        <c:ser>
          <c:idx val="0"/>
          <c:order val="0"/>
          <c:tx>
            <c:v>Fixed bottom - offshore H2 production</c:v>
          </c:tx>
          <c:spPr>
            <a:ln w="28575" cap="rnd">
              <a:solidFill>
                <a:schemeClr val="accent1">
                  <a:lumMod val="75000"/>
                </a:schemeClr>
              </a:solidFill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Calculations!$AL$224:$BE$224</c:f>
              <c:numCache>
                <c:formatCode>0.00</c:formatCode>
                <c:ptCount val="20"/>
                <c:pt idx="0">
                  <c:v>30.828484852758361</c:v>
                </c:pt>
                <c:pt idx="1">
                  <c:v>31.225075052866792</c:v>
                </c:pt>
                <c:pt idx="2">
                  <c:v>31.621665252975223</c:v>
                </c:pt>
                <c:pt idx="3">
                  <c:v>32.018255453083647</c:v>
                </c:pt>
                <c:pt idx="4">
                  <c:v>32.41685386145457</c:v>
                </c:pt>
                <c:pt idx="5">
                  <c:v>32.815452269825478</c:v>
                </c:pt>
                <c:pt idx="6">
                  <c:v>33.214050678196394</c:v>
                </c:pt>
                <c:pt idx="7">
                  <c:v>33.615911925370064</c:v>
                </c:pt>
                <c:pt idx="8">
                  <c:v>34.017773172543727</c:v>
                </c:pt>
                <c:pt idx="9">
                  <c:v>34.419634419717383</c:v>
                </c:pt>
                <c:pt idx="10">
                  <c:v>34.821495666891053</c:v>
                </c:pt>
                <c:pt idx="11">
                  <c:v>35.223356914064716</c:v>
                </c:pt>
                <c:pt idx="12">
                  <c:v>35.625218161238379</c:v>
                </c:pt>
                <c:pt idx="13">
                  <c:v>36.027079408412035</c:v>
                </c:pt>
                <c:pt idx="14">
                  <c:v>36.433110384738164</c:v>
                </c:pt>
                <c:pt idx="15">
                  <c:v>36.839141361064279</c:v>
                </c:pt>
                <c:pt idx="16">
                  <c:v>37.2451723373904</c:v>
                </c:pt>
                <c:pt idx="17">
                  <c:v>37.651203313716522</c:v>
                </c:pt>
                <c:pt idx="18">
                  <c:v>38.057234290042643</c:v>
                </c:pt>
                <c:pt idx="19">
                  <c:v>38.463265266368765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FB55-48C4-A616-A7E077555CF4}"/>
            </c:ext>
          </c:extLst>
        </c:ser>
        <c:ser>
          <c:idx val="1"/>
          <c:order val="1"/>
          <c:tx>
            <c:v>Fixed bottom - electricity</c:v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Calculations!$AL$222:$BE$222</c:f>
              <c:numCache>
                <c:formatCode>0.0</c:formatCode>
                <c:ptCount val="20"/>
                <c:pt idx="0">
                  <c:v>24.993410681881024</c:v>
                </c:pt>
                <c:pt idx="1">
                  <c:v>26.005796899999698</c:v>
                </c:pt>
                <c:pt idx="2">
                  <c:v>27.018183118118376</c:v>
                </c:pt>
                <c:pt idx="3">
                  <c:v>28.03056933623705</c:v>
                </c:pt>
                <c:pt idx="4">
                  <c:v>29.061305554305189</c:v>
                </c:pt>
                <c:pt idx="5">
                  <c:v>30.092041772373332</c:v>
                </c:pt>
                <c:pt idx="6">
                  <c:v>31.12277799044147</c:v>
                </c:pt>
                <c:pt idx="7">
                  <c:v>32.18442714586709</c:v>
                </c:pt>
                <c:pt idx="8">
                  <c:v>33.24607630129271</c:v>
                </c:pt>
                <c:pt idx="9">
                  <c:v>34.30772545671833</c:v>
                </c:pt>
                <c:pt idx="10">
                  <c:v>35.36937461214395</c:v>
                </c:pt>
                <c:pt idx="11">
                  <c:v>36.43102376756957</c:v>
                </c:pt>
                <c:pt idx="12">
                  <c:v>37.49267292299519</c:v>
                </c:pt>
                <c:pt idx="13">
                  <c:v>38.55432207842081</c:v>
                </c:pt>
                <c:pt idx="14">
                  <c:v>39.656685418984537</c:v>
                </c:pt>
                <c:pt idx="15">
                  <c:v>40.759048759548271</c:v>
                </c:pt>
                <c:pt idx="16">
                  <c:v>41.861412100112005</c:v>
                </c:pt>
                <c:pt idx="17">
                  <c:v>42.963775440675732</c:v>
                </c:pt>
                <c:pt idx="18">
                  <c:v>44.066138781239459</c:v>
                </c:pt>
                <c:pt idx="19">
                  <c:v>45.168502121803193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FB55-48C4-A616-A7E077555CF4}"/>
            </c:ext>
          </c:extLst>
        </c:ser>
        <c:ser>
          <c:idx val="2"/>
          <c:order val="2"/>
          <c:tx>
            <c:v>Floating - electricity</c:v>
          </c:tx>
          <c:spPr>
            <a:ln w="28575" cap="rnd">
              <a:solidFill>
                <a:srgbClr val="FF0000"/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Calculations!$AL$230:$BE$230</c:f>
              <c:numCache>
                <c:formatCode>0.0</c:formatCode>
                <c:ptCount val="20"/>
                <c:pt idx="0">
                  <c:v>29.178852007704304</c:v>
                </c:pt>
                <c:pt idx="1">
                  <c:v>30.264150501741032</c:v>
                </c:pt>
                <c:pt idx="2">
                  <c:v>31.349448995777763</c:v>
                </c:pt>
                <c:pt idx="3">
                  <c:v>32.434747489814491</c:v>
                </c:pt>
                <c:pt idx="4">
                  <c:v>33.539200279273999</c:v>
                </c:pt>
                <c:pt idx="5">
                  <c:v>34.643653068733506</c:v>
                </c:pt>
                <c:pt idx="6">
                  <c:v>35.748105858193014</c:v>
                </c:pt>
                <c:pt idx="7">
                  <c:v>36.884812077465511</c:v>
                </c:pt>
                <c:pt idx="8">
                  <c:v>38.021518296738002</c:v>
                </c:pt>
                <c:pt idx="9">
                  <c:v>39.158224516010499</c:v>
                </c:pt>
                <c:pt idx="10">
                  <c:v>40.294930735282989</c:v>
                </c:pt>
                <c:pt idx="11">
                  <c:v>41.431636954555486</c:v>
                </c:pt>
                <c:pt idx="12">
                  <c:v>42.568343173827976</c:v>
                </c:pt>
                <c:pt idx="13">
                  <c:v>43.705049393100474</c:v>
                </c:pt>
                <c:pt idx="14">
                  <c:v>44.884212437703241</c:v>
                </c:pt>
                <c:pt idx="15">
                  <c:v>46.063375482306014</c:v>
                </c:pt>
                <c:pt idx="16">
                  <c:v>47.242538526908781</c:v>
                </c:pt>
                <c:pt idx="17">
                  <c:v>48.421701571511548</c:v>
                </c:pt>
                <c:pt idx="18">
                  <c:v>49.600864616114322</c:v>
                </c:pt>
                <c:pt idx="19">
                  <c:v>50.780027660717089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FB55-48C4-A616-A7E077555CF4}"/>
            </c:ext>
          </c:extLst>
        </c:ser>
        <c:ser>
          <c:idx val="3"/>
          <c:order val="3"/>
          <c:tx>
            <c:v>Floating - offshore H2 production</c:v>
          </c:tx>
          <c:spPr>
            <a:ln w="28575" cap="rnd">
              <a:solidFill>
                <a:srgbClr val="FF0000"/>
              </a:solidFill>
              <a:round/>
            </a:ln>
            <a:effectLst/>
          </c:spPr>
          <c:marker>
            <c:symbol val="none"/>
          </c:marker>
          <c:cat>
            <c:numRef>
              <c:f>Calculations!$AL$217:$BE$217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Calculations!$AL$232:$BE$232</c:f>
              <c:numCache>
                <c:formatCode>0.00</c:formatCode>
                <c:ptCount val="20"/>
                <c:pt idx="0">
                  <c:v>36.000634920932455</c:v>
                </c:pt>
                <c:pt idx="1">
                  <c:v>36.482420080668788</c:v>
                </c:pt>
                <c:pt idx="2">
                  <c:v>36.964205240405128</c:v>
                </c:pt>
                <c:pt idx="3">
                  <c:v>37.445990400141461</c:v>
                </c:pt>
                <c:pt idx="4">
                  <c:v>37.930581446118914</c:v>
                </c:pt>
                <c:pt idx="5">
                  <c:v>38.415172492096382</c:v>
                </c:pt>
                <c:pt idx="6">
                  <c:v>38.899763538073842</c:v>
                </c:pt>
                <c:pt idx="7">
                  <c:v>39.389031061119837</c:v>
                </c:pt>
                <c:pt idx="8">
                  <c:v>39.878298584165833</c:v>
                </c:pt>
                <c:pt idx="9">
                  <c:v>40.367566107211829</c:v>
                </c:pt>
                <c:pt idx="10">
                  <c:v>40.856833630257825</c:v>
                </c:pt>
                <c:pt idx="11">
                  <c:v>41.34610115330382</c:v>
                </c:pt>
                <c:pt idx="12">
                  <c:v>41.835368676349823</c:v>
                </c:pt>
                <c:pt idx="13">
                  <c:v>42.324636199395819</c:v>
                </c:pt>
                <c:pt idx="14">
                  <c:v>42.81998314263091</c:v>
                </c:pt>
                <c:pt idx="15">
                  <c:v>43.315330085866009</c:v>
                </c:pt>
                <c:pt idx="16">
                  <c:v>43.810677029101107</c:v>
                </c:pt>
                <c:pt idx="17">
                  <c:v>44.306023972336206</c:v>
                </c:pt>
                <c:pt idx="18">
                  <c:v>44.801370915571297</c:v>
                </c:pt>
                <c:pt idx="19">
                  <c:v>45.296717858806403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FB55-48C4-A616-A7E077555CF4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05135496"/>
        <c:axId val="551968728"/>
      </c:lineChart>
      <c:catAx>
        <c:axId val="605135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51968728"/>
        <c:crosses val="autoZero"/>
        <c:auto val="1"/>
        <c:lblAlgn val="ctr"/>
        <c:lblOffset val="100"/>
        <c:noMultiLvlLbl val="0"/>
      </c:catAx>
      <c:valAx>
        <c:axId val="551968728"/>
        <c:scaling>
          <c:orientation val="minMax"/>
          <c:max val="55"/>
          <c:min val="25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Onshore energy price €/MWh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05135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2.5985705831659255E-4"/>
          <c:y val="0.84106624518668893"/>
          <c:w val="0.98551415968961453"/>
          <c:h val="0.13801194308325845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8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800" b="1">
                <a:solidFill>
                  <a:schemeClr val="accent5">
                    <a:lumMod val="75000"/>
                  </a:schemeClr>
                </a:solidFill>
              </a:rPr>
              <a:t>Electricity - onshore reception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>
        <c:manualLayout>
          <c:layoutTarget val="inner"/>
          <c:xMode val="edge"/>
          <c:yMode val="edge"/>
          <c:x val="0.1213106546735039"/>
          <c:y val="9.3431917776765031E-2"/>
          <c:w val="0.85728969411473477"/>
          <c:h val="0.73029688394205905"/>
        </c:manualLayout>
      </c:layout>
      <c:barChart>
        <c:barDir val="col"/>
        <c:grouping val="stacked"/>
        <c:varyColors val="0"/>
        <c:ser>
          <c:idx val="0"/>
          <c:order val="0"/>
          <c:tx>
            <c:v>Turbine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49AFD3A-EFF7-4961-8A38-39680E40C7F2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9B1E0815-AA18-4CFE-8591-5C5B20D25AAA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E5CC548-493B-4E95-BC0C-C5331D595C4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E46C09F-F2DC-4EDB-B8E4-76E99AABA69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(Calculations!$E$254,Calculations!$G$254,Calculations!$J$254,Calculations!$L$254)</c:f>
              <c:numCache>
                <c:formatCode>0.000</c:formatCode>
                <c:ptCount val="4"/>
                <c:pt idx="0" formatCode="0.00">
                  <c:v>1.1005654521681789</c:v>
                </c:pt>
                <c:pt idx="1">
                  <c:v>1.0032633885863846</c:v>
                </c:pt>
                <c:pt idx="2" formatCode="0.00">
                  <c:v>1.1005654521681789</c:v>
                </c:pt>
                <c:pt idx="3" formatCode="0.00">
                  <c:v>1.0032633885863846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(Calculations!$F$254,Calculations!$H$254,Calculations!$K$254,Calculations!$M$254)</c15:f>
                <c15:dlblRangeCache>
                  <c:ptCount val="4"/>
                  <c:pt idx="0">
                    <c:v>30%</c:v>
                  </c:pt>
                  <c:pt idx="1">
                    <c:v>30%</c:v>
                  </c:pt>
                  <c:pt idx="2">
                    <c:v>23%</c:v>
                  </c:pt>
                  <c:pt idx="3">
                    <c:v>28%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F460-4B8C-B6E4-9F80F48FA2AA}"/>
            </c:ext>
          </c:extLst>
        </c:ser>
        <c:ser>
          <c:idx val="1"/>
          <c:order val="1"/>
          <c:tx>
            <c:v>Substructure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35463291-872A-4154-B82E-054F8CE86173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B79C78C2-C3CB-448D-9C04-9F439C83E4E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1830DAE6-3E7C-4F62-B507-6ADE282E5E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C3C4A114-A413-4771-ACA8-BDB227F7688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(Calculations!$E$255,Calculations!$G$255,Calculations!$J$255,Calculations!$L$255)</c:f>
              <c:numCache>
                <c:formatCode>0.000</c:formatCode>
                <c:ptCount val="4"/>
                <c:pt idx="0" formatCode="0.00">
                  <c:v>0.59079957140964445</c:v>
                </c:pt>
                <c:pt idx="1">
                  <c:v>0.53645505595801191</c:v>
                </c:pt>
                <c:pt idx="2" formatCode="0.00">
                  <c:v>1.4498618109558528</c:v>
                </c:pt>
                <c:pt idx="3" formatCode="0.00">
                  <c:v>0.70449781310432136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(Calculations!$F$255,Calculations!$H$255,Calculations!$K$255,Calculations!$M$255)</c15:f>
                <c15:dlblRangeCache>
                  <c:ptCount val="4"/>
                  <c:pt idx="0">
                    <c:v>16%</c:v>
                  </c:pt>
                  <c:pt idx="1">
                    <c:v>16%</c:v>
                  </c:pt>
                  <c:pt idx="2">
                    <c:v>30%</c:v>
                  </c:pt>
                  <c:pt idx="3">
                    <c:v>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F460-4B8C-B6E4-9F80F48FA2AA}"/>
            </c:ext>
          </c:extLst>
        </c:ser>
        <c:ser>
          <c:idx val="2"/>
          <c:order val="2"/>
          <c:tx>
            <c:v>Electr. infra</c:v>
          </c:tx>
          <c:spPr>
            <a:solidFill>
              <a:srgbClr val="FFC000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72759DDC-AB60-4040-816C-61AA630CCC6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6B0EAFE7-8AD7-456A-9111-9BB26ED8AD9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E886776B-5112-4DDD-8ACD-D30E411161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5BA2373-A2C0-4D6E-AD06-79D7D81AE73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(Calculations!$E$256,Calculations!$G$256,Calculations!$J$256,Calculations!$L$256)</c:f>
              <c:numCache>
                <c:formatCode>0.000</c:formatCode>
                <c:ptCount val="4"/>
                <c:pt idx="0" formatCode="0.00">
                  <c:v>0.65985351383943169</c:v>
                </c:pt>
                <c:pt idx="1">
                  <c:v>0.62065118120318497</c:v>
                </c:pt>
                <c:pt idx="2" formatCode="0.00">
                  <c:v>0.65985351383943169</c:v>
                </c:pt>
                <c:pt idx="3" formatCode="0.00">
                  <c:v>0.62065118120318497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(Calculations!$F$256,Calculations!$H$256,Calculations!$K$256,Calculations!$M$256)</c15:f>
                <c15:dlblRangeCache>
                  <c:ptCount val="4"/>
                  <c:pt idx="0">
                    <c:v>18%</c:v>
                  </c:pt>
                  <c:pt idx="1">
                    <c:v>19%</c:v>
                  </c:pt>
                  <c:pt idx="2">
                    <c:v>14%</c:v>
                  </c:pt>
                  <c:pt idx="3">
                    <c:v>17%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F460-4B8C-B6E4-9F80F48FA2AA}"/>
            </c:ext>
          </c:extLst>
        </c:ser>
        <c:ser>
          <c:idx val="3"/>
          <c:order val="3"/>
          <c:tx>
            <c:v>O&amp;M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2EED9D6-9A59-49DB-9EAC-9046DD37C3C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18031B2-C646-40CF-9416-72578F9BAE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3259C14A-9961-48FB-A087-46D736E4DFA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541FE404-1ADC-4FA9-8BA4-A9EB5F4E88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(Calculations!$E$257,Calculations!$G$257,Calculations!$J$257,Calculations!$L$257)</c:f>
              <c:numCache>
                <c:formatCode>0.000</c:formatCode>
                <c:ptCount val="4"/>
                <c:pt idx="0" formatCode="0.00">
                  <c:v>0.82621966252475931</c:v>
                </c:pt>
                <c:pt idx="1">
                  <c:v>0.75812829919556934</c:v>
                </c:pt>
                <c:pt idx="2" formatCode="0.00">
                  <c:v>1.122054594407794</c:v>
                </c:pt>
                <c:pt idx="3" formatCode="0.00">
                  <c:v>0.86657941497320135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(Calculations!$F$257,Calculations!$H$257,Calculations!$K$257,Calculations!$M$257)</c15:f>
                <c15:dlblRangeCache>
                  <c:ptCount val="4"/>
                  <c:pt idx="0">
                    <c:v>23%</c:v>
                  </c:pt>
                  <c:pt idx="1">
                    <c:v>23%</c:v>
                  </c:pt>
                  <c:pt idx="2">
                    <c:v>23%</c:v>
                  </c:pt>
                  <c:pt idx="3">
                    <c:v>24%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F460-4B8C-B6E4-9F80F48FA2AA}"/>
            </c:ext>
          </c:extLst>
        </c:ser>
        <c:ser>
          <c:idx val="4"/>
          <c:order val="4"/>
          <c:tx>
            <c:v>PD &amp; other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643CFDDE-0B2B-472B-894B-DB33F421A4E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F460-4B8C-B6E4-9F80F48FA2A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BA89B28-4B7A-463C-9935-7F47C7B2092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F460-4B8C-B6E4-9F80F48FA2A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E8C10A9-DFB4-42B9-A34A-9662BC9F47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F460-4B8C-B6E4-9F80F48FA2A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76FDBFCB-3579-45D7-9BA9-EA440207A40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F460-4B8C-B6E4-9F80F48FA2A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tx1">
                        <a:lumMod val="75000"/>
                        <a:lumOff val="25000"/>
                      </a:schemeClr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(Calculations!$E$252,Calculations!$G$252,Calculations!$J$252,Calculations!$L$252)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(Calculations!$E$258,Calculations!$G$258,Calculations!$J$258,Calculations!$L$258)</c:f>
              <c:numCache>
                <c:formatCode>0.000</c:formatCode>
                <c:ptCount val="4"/>
                <c:pt idx="0" formatCode="0.00">
                  <c:v>0.44920366612059659</c:v>
                </c:pt>
                <c:pt idx="1">
                  <c:v>0.43011877495362927</c:v>
                </c:pt>
                <c:pt idx="2" formatCode="0.00">
                  <c:v>0.53510989007521736</c:v>
                </c:pt>
                <c:pt idx="3" formatCode="0.00">
                  <c:v>0.44692305066826021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(Calculations!$F$258,Calculations!$H$258,Calculations!$K$258,Calculations!$M$258)</c15:f>
                <c15:dlblRangeCache>
                  <c:ptCount val="4"/>
                  <c:pt idx="0">
                    <c:v>12%</c:v>
                  </c:pt>
                  <c:pt idx="1">
                    <c:v>13%</c:v>
                  </c:pt>
                  <c:pt idx="2">
                    <c:v>11%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F460-4B8C-B6E4-9F80F48FA2A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1415032"/>
        <c:axId val="581408144"/>
      </c:barChart>
      <c:catAx>
        <c:axId val="5814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08144"/>
        <c:crosses val="autoZero"/>
        <c:auto val="1"/>
        <c:lblAlgn val="ctr"/>
        <c:lblOffset val="100"/>
        <c:noMultiLvlLbl val="0"/>
      </c:catAx>
      <c:valAx>
        <c:axId val="5814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M€/turbine/year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1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layout>
        <c:manualLayout>
          <c:xMode val="edge"/>
          <c:yMode val="edge"/>
          <c:x val="0.14633384437531319"/>
          <c:y val="0.88992828523581313"/>
          <c:w val="0.68212732387657593"/>
          <c:h val="0.11007171476418691"/>
        </c:manualLayout>
      </c:layout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9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800" b="1" i="0" u="none" strike="noStrike" kern="1200" spc="0" baseline="0">
                <a:solidFill>
                  <a:schemeClr val="accent5">
                    <a:lumMod val="75000"/>
                  </a:schemeClr>
                </a:solidFill>
                <a:latin typeface="+mn-lt"/>
                <a:ea typeface="+mn-ea"/>
                <a:cs typeface="+mn-cs"/>
              </a:defRPr>
            </a:pPr>
            <a:r>
              <a:rPr lang="nl-NL" sz="1800" b="1">
                <a:solidFill>
                  <a:schemeClr val="accent5">
                    <a:lumMod val="75000"/>
                  </a:schemeClr>
                </a:solidFill>
              </a:rPr>
              <a:t>Offshore hydrogen - onshore reception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800" b="1" i="0" u="none" strike="noStrike" kern="1200" spc="0" baseline="0">
              <a:solidFill>
                <a:schemeClr val="accent5">
                  <a:lumMod val="75000"/>
                </a:schemeClr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barChart>
        <c:barDir val="col"/>
        <c:grouping val="stacked"/>
        <c:varyColors val="0"/>
        <c:ser>
          <c:idx val="0"/>
          <c:order val="0"/>
          <c:tx>
            <c:v>Turbine</c:v>
          </c:tx>
          <c:spPr>
            <a:solidFill>
              <a:schemeClr val="accent1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5A29A611-C716-4B48-A755-FDF91B46A40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0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8E8B191B-6EBD-4D22-AC63-E27203DC92D2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09697595-BA55-4044-B2D2-EF68773FE311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2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E0790A78-EED2-416D-B952-C8400F1E134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chemeClr val="bg1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(Calculations!$E$264,Calculations!$G$264,Calculations!$J$264,Calculations!$L$264)</c:f>
              <c:numCache>
                <c:formatCode>0.00</c:formatCode>
                <c:ptCount val="4"/>
                <c:pt idx="0">
                  <c:v>1.1005654521681789</c:v>
                </c:pt>
                <c:pt idx="1">
                  <c:v>1.0032633885863846</c:v>
                </c:pt>
                <c:pt idx="2">
                  <c:v>1.1005654521681789</c:v>
                </c:pt>
                <c:pt idx="3">
                  <c:v>1.0032633885863846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(Calculations!$F$264,Calculations!$H$264,Calculations!$K$264,Calculations!$M$264)</c15:f>
                <c15:dlblRangeCache>
                  <c:ptCount val="4"/>
                  <c:pt idx="0">
                    <c:v>28%</c:v>
                  </c:pt>
                  <c:pt idx="1">
                    <c:v>30%</c:v>
                  </c:pt>
                  <c:pt idx="2">
                    <c:v>21%</c:v>
                  </c:pt>
                  <c:pt idx="3">
                    <c:v>27%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4-5FCE-4F05-A323-4E32731C728A}"/>
            </c:ext>
          </c:extLst>
        </c:ser>
        <c:ser>
          <c:idx val="1"/>
          <c:order val="1"/>
          <c:tx>
            <c:v>Substructure</c:v>
          </c:tx>
          <c:spPr>
            <a:solidFill>
              <a:schemeClr val="accent2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992C8BE0-12C8-4D16-9537-0C6C09DA6B7F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5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D6FD012-8D95-4E3E-A704-7D16DF681E6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4B2C4BE2-5BE5-4E6A-9B41-009820DE2EDC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37C950-9A53-4CB7-B454-A420FA957C36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(Calculations!$E$265,Calculations!$G$265,Calculations!$J$265,Calculations!$L$265)</c:f>
              <c:numCache>
                <c:formatCode>0.00</c:formatCode>
                <c:ptCount val="4"/>
                <c:pt idx="0">
                  <c:v>0.59079957140964445</c:v>
                </c:pt>
                <c:pt idx="1">
                  <c:v>0.53645505595801191</c:v>
                </c:pt>
                <c:pt idx="2">
                  <c:v>1.4498618109558528</c:v>
                </c:pt>
                <c:pt idx="3">
                  <c:v>0.70449781310432136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(Calculations!$F$265,Calculations!$H$265,Calculations!$K$265,Calculations!$M$265)</c15:f>
                <c15:dlblRangeCache>
                  <c:ptCount val="4"/>
                  <c:pt idx="0">
                    <c:v>15%</c:v>
                  </c:pt>
                  <c:pt idx="1">
                    <c:v>16%</c:v>
                  </c:pt>
                  <c:pt idx="2">
                    <c:v>28%</c:v>
                  </c:pt>
                  <c:pt idx="3">
                    <c:v>19%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9-5FCE-4F05-A323-4E32731C728A}"/>
            </c:ext>
          </c:extLst>
        </c:ser>
        <c:ser>
          <c:idx val="2"/>
          <c:order val="2"/>
          <c:tx>
            <c:v>H2 prod</c:v>
          </c:tx>
          <c:spPr>
            <a:solidFill>
              <a:schemeClr val="accent3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990C904-C097-4F60-B505-7A3991A0A87B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A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326961CC-CE48-44EF-AC4F-E7BE30DB6D1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B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9714764-CF74-494C-BE2D-19185CD12BB0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C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0D1C46C4-E986-4020-A689-4327B13F882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D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(Calculations!$E$266,Calculations!$G$266,Calculations!$J$266,Calculations!$L$266)</c:f>
              <c:numCache>
                <c:formatCode>0.00</c:formatCode>
                <c:ptCount val="4"/>
                <c:pt idx="0">
                  <c:v>0.65484317875578846</c:v>
                </c:pt>
                <c:pt idx="1">
                  <c:v>0.4365621191705254</c:v>
                </c:pt>
                <c:pt idx="2">
                  <c:v>0.65484317875578846</c:v>
                </c:pt>
                <c:pt idx="3">
                  <c:v>0.4365621191705254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(Calculations!$F$266,Calculations!$H$266,Calculations!$K$266,Calculations!$M$266)</c15:f>
                <c15:dlblRangeCache>
                  <c:ptCount val="4"/>
                  <c:pt idx="0">
                    <c:v>17%</c:v>
                  </c:pt>
                  <c:pt idx="1">
                    <c:v>13%</c:v>
                  </c:pt>
                  <c:pt idx="2">
                    <c:v>13%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E-5FCE-4F05-A323-4E32731C728A}"/>
            </c:ext>
          </c:extLst>
        </c:ser>
        <c:ser>
          <c:idx val="3"/>
          <c:order val="3"/>
          <c:tx>
            <c:v>H2 compr + transp</c:v>
          </c:tx>
          <c:spPr>
            <a:solidFill>
              <a:schemeClr val="accent4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89D5C7D3-4D2C-475A-9AEB-7006673AB1E5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F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1DE85D80-7402-40F2-8B1E-202457918DE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0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9C06282A-A5FB-477F-9876-B628B482B9FE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1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B1576974-EAC6-4B66-BBD0-16E80994D497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2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(Calculations!$E$267,Calculations!$G$267,Calculations!$J$267,Calculations!$L$267)</c:f>
              <c:numCache>
                <c:formatCode>0.00</c:formatCode>
                <c:ptCount val="4"/>
                <c:pt idx="0">
                  <c:v>0.19307839485554645</c:v>
                </c:pt>
                <c:pt idx="1">
                  <c:v>0.18591543086815282</c:v>
                </c:pt>
                <c:pt idx="2">
                  <c:v>0.19307839485554645</c:v>
                </c:pt>
                <c:pt idx="3">
                  <c:v>0.18591543086815282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(Calculations!$F$267,Calculations!$H$267,Calculations!$K$267,Calculations!$M$267)</c15:f>
                <c15:dlblRangeCache>
                  <c:ptCount val="4"/>
                  <c:pt idx="0">
                    <c:v>5%</c:v>
                  </c:pt>
                  <c:pt idx="1">
                    <c:v>5%</c:v>
                  </c:pt>
                  <c:pt idx="2">
                    <c:v>4%</c:v>
                  </c:pt>
                  <c:pt idx="3">
                    <c:v>5%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3-5FCE-4F05-A323-4E32731C728A}"/>
            </c:ext>
          </c:extLst>
        </c:ser>
        <c:ser>
          <c:idx val="4"/>
          <c:order val="4"/>
          <c:tx>
            <c:v>O&amp;M + electr</c:v>
          </c:tx>
          <c:spPr>
            <a:solidFill>
              <a:schemeClr val="accent5">
                <a:lumMod val="40000"/>
                <a:lumOff val="60000"/>
              </a:schemeClr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E2E2D2C9-A7CD-4C56-AA37-37B979B0349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4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780DB742-9384-4A14-A41E-BADBD1D6B52D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5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64EBAFEC-3094-4BE9-926C-09716F6C19B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6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F26D9400-7FF9-47B5-BAD3-D64D3E4CB5C5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7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(Calculations!$E$268,Calculations!$G$268,Calculations!$J$268,Calculations!$L$268)</c:f>
              <c:numCache>
                <c:formatCode>0.00</c:formatCode>
                <c:ptCount val="4"/>
                <c:pt idx="0">
                  <c:v>0.96852770762803142</c:v>
                </c:pt>
                <c:pt idx="1">
                  <c:v>0.85150083955386524</c:v>
                </c:pt>
                <c:pt idx="2">
                  <c:v>1.2643626395110661</c:v>
                </c:pt>
                <c:pt idx="3">
                  <c:v>0.95995195533149724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(Calculations!$F$268,Calculations!$H$268,Calculations!$K$268,Calculations!$M$268)</c15:f>
                <c15:dlblRangeCache>
                  <c:ptCount val="4"/>
                  <c:pt idx="0">
                    <c:v>24%</c:v>
                  </c:pt>
                  <c:pt idx="1">
                    <c:v>25%</c:v>
                  </c:pt>
                  <c:pt idx="2">
                    <c:v>24%</c:v>
                  </c:pt>
                  <c:pt idx="3">
                    <c:v>26%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8-5FCE-4F05-A323-4E32731C728A}"/>
            </c:ext>
          </c:extLst>
        </c:ser>
        <c:ser>
          <c:idx val="5"/>
          <c:order val="5"/>
          <c:tx>
            <c:v>PD + other</c:v>
          </c:tx>
          <c:spPr>
            <a:solidFill>
              <a:schemeClr val="accent6"/>
            </a:solidFill>
            <a:ln>
              <a:noFill/>
            </a:ln>
            <a:effectLst/>
          </c:spPr>
          <c:invertIfNegative val="0"/>
          <c:dLbls>
            <c:dLbl>
              <c:idx val="0"/>
              <c:tx>
                <c:rich>
                  <a:bodyPr/>
                  <a:lstStyle/>
                  <a:p>
                    <a:fld id="{0730C52B-9BAA-4F69-BB26-79D5B56CA8AC}" type="CELLRANGE">
                      <a:rPr lang="en-US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19-5FCE-4F05-A323-4E32731C728A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50AA0EEB-6A3C-4D22-96B0-004788E7CC88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A-5FCE-4F05-A323-4E32731C728A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fld id="{A2DEE2CF-41AA-4714-9BFE-33A665A3D40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B-5FCE-4F05-A323-4E32731C728A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6113305D-305B-4DAD-A527-842E07FBBA93}" type="CELLRANGE">
                      <a:rPr lang="en-GB"/>
                      <a:pPr/>
                      <a:t>[CELLRANGE]</a:t>
                    </a:fld>
                    <a:endParaRPr lang="en-GB"/>
                  </a:p>
                </c:rich>
              </c:tx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1C-5FCE-4F05-A323-4E32731C728A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endParaRPr lang="en-US"/>
              </a:p>
            </c:txPr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cat>
            <c:numRef>
              <c:f>(Calculations!$E$262,Calculations!$G$262,Calculations!$J$262,Calculations!$L$262)</c:f>
              <c:numCache>
                <c:formatCode>General</c:formatCode>
                <c:ptCount val="4"/>
                <c:pt idx="0">
                  <c:v>2035</c:v>
                </c:pt>
                <c:pt idx="1">
                  <c:v>2050</c:v>
                </c:pt>
                <c:pt idx="2">
                  <c:v>2035</c:v>
                </c:pt>
                <c:pt idx="3">
                  <c:v>2050</c:v>
                </c:pt>
              </c:numCache>
            </c:numRef>
          </c:cat>
          <c:val>
            <c:numRef>
              <c:f>(Calculations!$E$269,Calculations!$G$269,Calculations!$J$269,Calculations!$L$269)</c:f>
              <c:numCache>
                <c:formatCode>0.00</c:formatCode>
                <c:ptCount val="4"/>
                <c:pt idx="0">
                  <c:v>0.44670650286224767</c:v>
                </c:pt>
                <c:pt idx="1">
                  <c:v>0.38462084085249559</c:v>
                </c:pt>
                <c:pt idx="2">
                  <c:v>0.53378276382439027</c:v>
                </c:pt>
                <c:pt idx="3">
                  <c:v>0.43222825503890661</c:v>
                </c:pt>
              </c:numCache>
            </c:numRef>
          </c:val>
          <c:extLst>
            <c:ext xmlns:c15="http://schemas.microsoft.com/office/drawing/2012/chart" uri="{02D57815-91ED-43cb-92C2-25804820EDAC}">
              <c15:datalabelsRange>
                <c15:f>(Calculations!$F$269,Calculations!$H$269,Calculations!$K$269,Calculations!$M$269)</c15:f>
                <c15:dlblRangeCache>
                  <c:ptCount val="4"/>
                  <c:pt idx="0">
                    <c:v>11%</c:v>
                  </c:pt>
                  <c:pt idx="1">
                    <c:v>11%</c:v>
                  </c:pt>
                  <c:pt idx="2">
                    <c:v>10%</c:v>
                  </c:pt>
                  <c:pt idx="3">
                    <c:v>12%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1D-5FCE-4F05-A323-4E32731C728A}"/>
            </c:ext>
          </c:extLst>
        </c:ser>
        <c:dLbls>
          <c:showLegendKey val="0"/>
          <c:showVal val="1"/>
          <c:showCatName val="0"/>
          <c:showSerName val="0"/>
          <c:showPercent val="0"/>
          <c:showBubbleSize val="0"/>
        </c:dLbls>
        <c:gapWidth val="150"/>
        <c:overlap val="100"/>
        <c:axId val="581415032"/>
        <c:axId val="581408144"/>
      </c:barChart>
      <c:catAx>
        <c:axId val="581415032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08144"/>
        <c:crosses val="autoZero"/>
        <c:auto val="1"/>
        <c:lblAlgn val="ctr"/>
        <c:lblOffset val="100"/>
        <c:noMultiLvlLbl val="0"/>
      </c:catAx>
      <c:valAx>
        <c:axId val="58140814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M€/turbine/year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1415032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0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Distance dependency - floating and bottom fixed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2"/>
          <c:order val="0"/>
          <c:tx>
            <c:v>H2 offshore floating 2035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olid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Calculations!$P$228:$AI$228</c:f>
              <c:numCache>
                <c:formatCode>0.00</c:formatCode>
                <c:ptCount val="20"/>
                <c:pt idx="0">
                  <c:v>2.1946539158751883</c:v>
                </c:pt>
                <c:pt idx="1">
                  <c:v>2.214508464472984</c:v>
                </c:pt>
                <c:pt idx="2">
                  <c:v>2.2343630130707797</c:v>
                </c:pt>
                <c:pt idx="3">
                  <c:v>2.2542175616685753</c:v>
                </c:pt>
                <c:pt idx="4">
                  <c:v>2.2742781133297401</c:v>
                </c:pt>
                <c:pt idx="5">
                  <c:v>2.2943386649909048</c:v>
                </c:pt>
                <c:pt idx="6">
                  <c:v>2.3143992166520695</c:v>
                </c:pt>
                <c:pt idx="7">
                  <c:v>2.3348031067521831</c:v>
                </c:pt>
                <c:pt idx="8">
                  <c:v>2.3552069968522966</c:v>
                </c:pt>
                <c:pt idx="9">
                  <c:v>2.3756108869524102</c:v>
                </c:pt>
                <c:pt idx="10">
                  <c:v>2.3960147770525233</c:v>
                </c:pt>
                <c:pt idx="11">
                  <c:v>2.4164186671526369</c:v>
                </c:pt>
                <c:pt idx="12">
                  <c:v>2.4368225572527504</c:v>
                </c:pt>
                <c:pt idx="13">
                  <c:v>2.457226447352864</c:v>
                </c:pt>
                <c:pt idx="14">
                  <c:v>2.4780766774236107</c:v>
                </c:pt>
                <c:pt idx="15">
                  <c:v>2.4989269074943574</c:v>
                </c:pt>
                <c:pt idx="16">
                  <c:v>2.5197771375651046</c:v>
                </c:pt>
                <c:pt idx="17">
                  <c:v>2.5406273676358513</c:v>
                </c:pt>
                <c:pt idx="18">
                  <c:v>2.561477597706598</c:v>
                </c:pt>
                <c:pt idx="19">
                  <c:v>2.5823278277773447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7959-4F9B-B573-8B4024904AEE}"/>
            </c:ext>
          </c:extLst>
        </c:ser>
        <c:ser>
          <c:idx val="5"/>
          <c:order val="1"/>
          <c:tx>
            <c:v>H2 offshore floating 2050</c:v>
          </c:tx>
          <c:spPr>
            <a:ln w="28575" cap="rnd">
              <a:solidFill>
                <a:schemeClr val="accent2">
                  <a:lumMod val="50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cat>
            <c:numRef>
              <c:f>Calculations!$P$217:$AI$217</c:f>
              <c:numCache>
                <c:formatCode>General</c:formatCode>
                <c:ptCount val="20"/>
                <c:pt idx="0">
                  <c:v>15</c:v>
                </c:pt>
                <c:pt idx="1">
                  <c:v>30</c:v>
                </c:pt>
                <c:pt idx="2">
                  <c:v>45</c:v>
                </c:pt>
                <c:pt idx="3">
                  <c:v>60</c:v>
                </c:pt>
                <c:pt idx="4">
                  <c:v>75</c:v>
                </c:pt>
                <c:pt idx="5">
                  <c:v>90</c:v>
                </c:pt>
                <c:pt idx="6">
                  <c:v>105</c:v>
                </c:pt>
                <c:pt idx="7">
                  <c:v>120</c:v>
                </c:pt>
                <c:pt idx="8">
                  <c:v>135</c:v>
                </c:pt>
                <c:pt idx="9">
                  <c:v>150</c:v>
                </c:pt>
                <c:pt idx="10">
                  <c:v>165</c:v>
                </c:pt>
                <c:pt idx="11">
                  <c:v>180</c:v>
                </c:pt>
                <c:pt idx="12">
                  <c:v>195</c:v>
                </c:pt>
                <c:pt idx="13">
                  <c:v>210</c:v>
                </c:pt>
                <c:pt idx="14">
                  <c:v>225</c:v>
                </c:pt>
                <c:pt idx="15">
                  <c:v>240</c:v>
                </c:pt>
                <c:pt idx="16">
                  <c:v>255</c:v>
                </c:pt>
                <c:pt idx="17">
                  <c:v>270</c:v>
                </c:pt>
                <c:pt idx="18">
                  <c:v>285</c:v>
                </c:pt>
                <c:pt idx="19">
                  <c:v>300</c:v>
                </c:pt>
              </c:numCache>
            </c:numRef>
          </c:cat>
          <c:val>
            <c:numRef>
              <c:f>Calculations!$P$232:$AI$232</c:f>
              <c:numCache>
                <c:formatCode>0.00</c:formatCode>
                <c:ptCount val="20"/>
                <c:pt idx="0">
                  <c:v>1.4180250088300619</c:v>
                </c:pt>
                <c:pt idx="1">
                  <c:v>1.4370019909552318</c:v>
                </c:pt>
                <c:pt idx="2">
                  <c:v>1.455978973080402</c:v>
                </c:pt>
                <c:pt idx="3">
                  <c:v>1.474955955205572</c:v>
                </c:pt>
                <c:pt idx="4">
                  <c:v>1.4940434580721287</c:v>
                </c:pt>
                <c:pt idx="5">
                  <c:v>1.5131309609386852</c:v>
                </c:pt>
                <c:pt idx="6">
                  <c:v>1.5322184638052418</c:v>
                </c:pt>
                <c:pt idx="7">
                  <c:v>1.5514901679074424</c:v>
                </c:pt>
                <c:pt idx="8">
                  <c:v>1.5707618720096432</c:v>
                </c:pt>
                <c:pt idx="9">
                  <c:v>1.5900335761118438</c:v>
                </c:pt>
                <c:pt idx="10">
                  <c:v>1.6093052802140444</c:v>
                </c:pt>
                <c:pt idx="11">
                  <c:v>1.628576984316245</c:v>
                </c:pt>
                <c:pt idx="12">
                  <c:v>1.6478486884184458</c:v>
                </c:pt>
                <c:pt idx="13">
                  <c:v>1.6671203925206464</c:v>
                </c:pt>
                <c:pt idx="14">
                  <c:v>1.6866315582291844</c:v>
                </c:pt>
                <c:pt idx="15">
                  <c:v>1.7061427239377223</c:v>
                </c:pt>
                <c:pt idx="16">
                  <c:v>1.7256538896462603</c:v>
                </c:pt>
                <c:pt idx="17">
                  <c:v>1.7451650553547984</c:v>
                </c:pt>
                <c:pt idx="18">
                  <c:v>1.7646762210633362</c:v>
                </c:pt>
                <c:pt idx="19">
                  <c:v>1.7841873867718743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7959-4F9B-B573-8B4024904AEE}"/>
            </c:ext>
          </c:extLst>
        </c:ser>
        <c:ser>
          <c:idx val="0"/>
          <c:order val="2"/>
          <c:tx>
            <c:v>H2 offshore FB 2035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Calculations!$P$220:$AI$220</c:f>
              <c:numCache>
                <c:formatCode>0.00</c:formatCode>
                <c:ptCount val="20"/>
                <c:pt idx="0">
                  <c:v>1.5506155898520433</c:v>
                </c:pt>
                <c:pt idx="1">
                  <c:v>1.5696097691974633</c:v>
                </c:pt>
                <c:pt idx="2">
                  <c:v>1.5886039485428833</c:v>
                </c:pt>
                <c:pt idx="3">
                  <c:v>1.6075981278883034</c:v>
                </c:pt>
                <c:pt idx="4">
                  <c:v>1.6266876572965514</c:v>
                </c:pt>
                <c:pt idx="5">
                  <c:v>1.6457771867047997</c:v>
                </c:pt>
                <c:pt idx="6">
                  <c:v>1.6648667161130477</c:v>
                </c:pt>
                <c:pt idx="7">
                  <c:v>1.6841093229509037</c:v>
                </c:pt>
                <c:pt idx="8">
                  <c:v>1.7033519297887598</c:v>
                </c:pt>
                <c:pt idx="9">
                  <c:v>1.7225945366266158</c:v>
                </c:pt>
                <c:pt idx="10">
                  <c:v>1.7418371434644717</c:v>
                </c:pt>
                <c:pt idx="11">
                  <c:v>1.7610797503023277</c:v>
                </c:pt>
                <c:pt idx="12">
                  <c:v>1.7803223571401838</c:v>
                </c:pt>
                <c:pt idx="13">
                  <c:v>1.7995649639780398</c:v>
                </c:pt>
                <c:pt idx="14">
                  <c:v>1.8190015794134096</c:v>
                </c:pt>
                <c:pt idx="15">
                  <c:v>1.8384381948487794</c:v>
                </c:pt>
                <c:pt idx="16">
                  <c:v>1.8578748102841491</c:v>
                </c:pt>
                <c:pt idx="17">
                  <c:v>1.8773114257195189</c:v>
                </c:pt>
                <c:pt idx="18">
                  <c:v>1.8967480411548887</c:v>
                </c:pt>
                <c:pt idx="19">
                  <c:v>1.9161846565902585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7-7959-4F9B-B573-8B4024904AEE}"/>
            </c:ext>
          </c:extLst>
        </c:ser>
        <c:ser>
          <c:idx val="1"/>
          <c:order val="3"/>
          <c:tx>
            <c:v>H2 offshore FB 2050</c:v>
          </c:tx>
          <c:spPr>
            <a:ln w="28575" cap="rnd">
              <a:solidFill>
                <a:schemeClr val="accent2"/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Calculations!$P$224:$AI$224</c:f>
              <c:numCache>
                <c:formatCode>0.00</c:formatCode>
                <c:ptCount val="20"/>
                <c:pt idx="0">
                  <c:v>1.2142997644780933</c:v>
                </c:pt>
                <c:pt idx="1">
                  <c:v>1.2299210118045865</c:v>
                </c:pt>
                <c:pt idx="2">
                  <c:v>1.2455422591310796</c:v>
                </c:pt>
                <c:pt idx="3">
                  <c:v>1.2611635064575728</c:v>
                </c:pt>
                <c:pt idx="4">
                  <c:v>1.2768638548761828</c:v>
                </c:pt>
                <c:pt idx="5">
                  <c:v>1.2925642032947926</c:v>
                </c:pt>
                <c:pt idx="6">
                  <c:v>1.3082645517134026</c:v>
                </c:pt>
                <c:pt idx="7">
                  <c:v>1.3240934197270764</c:v>
                </c:pt>
                <c:pt idx="8">
                  <c:v>1.33992228774075</c:v>
                </c:pt>
                <c:pt idx="9">
                  <c:v>1.3557511557544237</c:v>
                </c:pt>
                <c:pt idx="10">
                  <c:v>1.3715800237680975</c:v>
                </c:pt>
                <c:pt idx="11">
                  <c:v>1.3874088917817713</c:v>
                </c:pt>
                <c:pt idx="12">
                  <c:v>1.4032377597954449</c:v>
                </c:pt>
                <c:pt idx="13">
                  <c:v>1.4190666278091186</c:v>
                </c:pt>
                <c:pt idx="14">
                  <c:v>1.4350597368210753</c:v>
                </c:pt>
                <c:pt idx="15">
                  <c:v>1.4510528458330321</c:v>
                </c:pt>
                <c:pt idx="16">
                  <c:v>1.4670459548449886</c:v>
                </c:pt>
                <c:pt idx="17">
                  <c:v>1.4830390638569453</c:v>
                </c:pt>
                <c:pt idx="18">
                  <c:v>1.499032172868902</c:v>
                </c:pt>
                <c:pt idx="19">
                  <c:v>1.5150252818808587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7959-4F9B-B573-8B4024904AE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459114496"/>
        <c:axId val="459107936"/>
      </c:lineChart>
      <c:catAx>
        <c:axId val="459114496"/>
        <c:scaling>
          <c:orientation val="minMax"/>
        </c:scaling>
        <c:delete val="0"/>
        <c:axPos val="b"/>
        <c:title>
          <c:tx>
            <c:rich>
              <a:bodyPr rot="0" spcFirstLastPara="1" vertOverflow="ellipsis" vert="horz" wrap="square" anchor="ctr" anchorCtr="1"/>
              <a:lstStyle/>
              <a:p>
                <a:pPr>
                  <a:defRPr sz="12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200" b="1">
                    <a:solidFill>
                      <a:sysClr val="windowText" lastClr="000000"/>
                    </a:solidFill>
                  </a:rPr>
                  <a:t>Distance to shore [km]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0" spcFirstLastPara="1" vertOverflow="ellipsis" vert="horz" wrap="square" anchor="ctr" anchorCtr="1"/>
            <a:lstStyle/>
            <a:p>
              <a:pPr>
                <a:defRPr sz="12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07936"/>
        <c:crosses val="autoZero"/>
        <c:auto val="1"/>
        <c:lblAlgn val="ctr"/>
        <c:lblOffset val="100"/>
        <c:noMultiLvlLbl val="0"/>
      </c:catAx>
      <c:valAx>
        <c:axId val="459107936"/>
        <c:scaling>
          <c:orientation val="minMax"/>
          <c:min val="1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chemeClr val="accent2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chemeClr val="accent2"/>
                    </a:solidFill>
                  </a:rPr>
                  <a:t> hydrogen €/kg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chemeClr val="accent2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chemeClr val="accent2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59114496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solidFill>
            <a:schemeClr val="accent2">
              <a:lumMod val="50000"/>
            </a:schemeClr>
          </a:solidFill>
          <a:prstDash val="dash"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2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Turbine CAPEX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Turbine price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rates'!$K$70:$K$112</c:f>
              <c:numCache>
                <c:formatCode>0</c:formatCode>
                <c:ptCount val="43"/>
                <c:pt idx="0">
                  <c:v>1586.1</c:v>
                </c:pt>
                <c:pt idx="1">
                  <c:v>1459.45</c:v>
                </c:pt>
                <c:pt idx="2">
                  <c:v>1306.45</c:v>
                </c:pt>
                <c:pt idx="3">
                  <c:v>1338.75</c:v>
                </c:pt>
                <c:pt idx="4">
                  <c:v>1248.6499999999999</c:v>
                </c:pt>
                <c:pt idx="5">
                  <c:v>1212.0999999999999</c:v>
                </c:pt>
                <c:pt idx="6">
                  <c:v>1085.45</c:v>
                </c:pt>
                <c:pt idx="7">
                  <c:v>927.35</c:v>
                </c:pt>
                <c:pt idx="8">
                  <c:v>903.55</c:v>
                </c:pt>
                <c:pt idx="9">
                  <c:v>795.6</c:v>
                </c:pt>
                <c:pt idx="10">
                  <c:v>762.44999999999993</c:v>
                </c:pt>
                <c:pt idx="11">
                  <c:v>730.05497577991309</c:v>
                </c:pt>
                <c:pt idx="12">
                  <c:v>702.99777844683831</c:v>
                </c:pt>
                <c:pt idx="13">
                  <c:v>687.46217250742529</c:v>
                </c:pt>
                <c:pt idx="14">
                  <c:v>672.26988920615486</c:v>
                </c:pt>
                <c:pt idx="15">
                  <c:v>657</c:v>
                </c:pt>
                <c:pt idx="16">
                  <c:v>632.66938375569043</c:v>
                </c:pt>
                <c:pt idx="17">
                  <c:v>610.33586811081955</c:v>
                </c:pt>
                <c:pt idx="18">
                  <c:v>589.83633297647998</c:v>
                </c:pt>
                <c:pt idx="19">
                  <c:v>571.02468802720318</c:v>
                </c:pt>
                <c:pt idx="20">
                  <c:v>553.76999030897298</c:v>
                </c:pt>
                <c:pt idx="21">
                  <c:v>537.95479703691944</c:v>
                </c:pt>
                <c:pt idx="22">
                  <c:v>523.47372230901999</c:v>
                </c:pt>
                <c:pt idx="23">
                  <c:v>510.23217096121755</c:v>
                </c:pt>
                <c:pt idx="24">
                  <c:v>498.1452266037183</c:v>
                </c:pt>
                <c:pt idx="25">
                  <c:v>487.13667411837048</c:v>
                </c:pt>
                <c:pt idx="26">
                  <c:v>477.13813965474054</c:v>
                </c:pt>
                <c:pt idx="27">
                  <c:v>468.94798532588266</c:v>
                </c:pt>
                <c:pt idx="28">
                  <c:v>461.55377627920302</c:v>
                </c:pt>
                <c:pt idx="29">
                  <c:v>455.62024640576163</c:v>
                </c:pt>
                <c:pt idx="30">
                  <c:v>450.32131137726782</c:v>
                </c:pt>
                <c:pt idx="31">
                  <c:v>446.3504023135265</c:v>
                </c:pt>
                <c:pt idx="32">
                  <c:v>442.41450851198607</c:v>
                </c:pt>
                <c:pt idx="33">
                  <c:v>439.14558587645683</c:v>
                </c:pt>
                <c:pt idx="34">
                  <c:v>435.900816732713</c:v>
                </c:pt>
                <c:pt idx="35">
                  <c:v>432.68002261487123</c:v>
                </c:pt>
                <c:pt idx="36">
                  <c:v>430.10820101550343</c:v>
                </c:pt>
                <c:pt idx="37">
                  <c:v>427.55166615458728</c:v>
                </c:pt>
                <c:pt idx="38">
                  <c:v>425.63497306100555</c:v>
                </c:pt>
                <c:pt idx="39">
                  <c:v>423.72687240830476</c:v>
                </c:pt>
                <c:pt idx="40">
                  <c:v>421.82732567699497</c:v>
                </c:pt>
                <c:pt idx="41">
                  <c:v>420.55950892075543</c:v>
                </c:pt>
                <c:pt idx="42">
                  <c:v>419.92390141782721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7F2-493E-BBA4-4FED7E6CB660}"/>
            </c:ext>
          </c:extLst>
        </c:ser>
        <c:ser>
          <c:idx val="2"/>
          <c:order val="2"/>
          <c:tx>
            <c:v>Historic CAPEX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tx1"/>
                </a:solidFill>
              </a:ln>
              <a:effectLst/>
            </c:spPr>
          </c:marker>
          <c:val>
            <c:numRef>
              <c:f>'Learning rates'!$K$70:$K$80</c:f>
              <c:numCache>
                <c:formatCode>0</c:formatCode>
                <c:ptCount val="11"/>
                <c:pt idx="0">
                  <c:v>1586.1</c:v>
                </c:pt>
                <c:pt idx="1">
                  <c:v>1459.45</c:v>
                </c:pt>
                <c:pt idx="2">
                  <c:v>1306.45</c:v>
                </c:pt>
                <c:pt idx="3">
                  <c:v>1338.75</c:v>
                </c:pt>
                <c:pt idx="4">
                  <c:v>1248.6499999999999</c:v>
                </c:pt>
                <c:pt idx="5">
                  <c:v>1212.0999999999999</c:v>
                </c:pt>
                <c:pt idx="6">
                  <c:v>1085.45</c:v>
                </c:pt>
                <c:pt idx="7">
                  <c:v>927.35</c:v>
                </c:pt>
                <c:pt idx="8">
                  <c:v>903.55</c:v>
                </c:pt>
                <c:pt idx="9">
                  <c:v>795.6</c:v>
                </c:pt>
                <c:pt idx="10">
                  <c:v>762.44999999999993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B7F2-493E-BBA4-4FED7E6CB660}"/>
            </c:ext>
          </c:extLst>
        </c:ser>
        <c:ser>
          <c:idx val="3"/>
          <c:order val="3"/>
          <c:tx>
            <c:v>20 MW tubine 'actual'</c:v>
          </c:tx>
          <c:spPr>
            <a:ln w="28575" cap="rnd">
              <a:solidFill>
                <a:schemeClr val="accent1">
                  <a:lumMod val="75000"/>
                </a:schemeClr>
              </a:solidFill>
              <a:prstDash val="sysDash"/>
              <a:round/>
            </a:ln>
            <a:effectLst/>
          </c:spPr>
          <c:marker>
            <c:symbol val="none"/>
          </c:marker>
          <c:val>
            <c:numRef>
              <c:f>'Learning rates'!$AE$70:$AE$112</c:f>
              <c:numCache>
                <c:formatCode>General</c:formatCode>
                <c:ptCount val="43"/>
                <c:pt idx="19" formatCode="0">
                  <c:v>685.22962563264377</c:v>
                </c:pt>
                <c:pt idx="20" formatCode="0">
                  <c:v>653.44858856458814</c:v>
                </c:pt>
                <c:pt idx="21" formatCode="0">
                  <c:v>624.02756456282657</c:v>
                </c:pt>
                <c:pt idx="22" formatCode="0">
                  <c:v>596.76004343228271</c:v>
                </c:pt>
                <c:pt idx="23" formatCode="0">
                  <c:v>571.4600314765637</c:v>
                </c:pt>
                <c:pt idx="24" formatCode="0">
                  <c:v>547.95974926409019</c:v>
                </c:pt>
                <c:pt idx="25" formatCode="0">
                  <c:v>526.10760804784013</c:v>
                </c:pt>
                <c:pt idx="26" formatCode="0">
                  <c:v>505.76642803402501</c:v>
                </c:pt>
                <c:pt idx="27" formatCode="0">
                  <c:v>487.70590473891798</c:v>
                </c:pt>
                <c:pt idx="28" formatCode="0">
                  <c:v>470.78485180478708</c:v>
                </c:pt>
                <c:pt idx="29" formatCode="0">
                  <c:v>455.62024640576163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532E-4B3B-BD0E-E0BD3C9F1CE7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482263656"/>
        <c:axId val="482255784"/>
      </c:lineChart>
      <c:lineChart>
        <c:grouping val="standard"/>
        <c:varyColors val="0"/>
        <c:ser>
          <c:idx val="1"/>
          <c:order val="1"/>
          <c:tx>
            <c:v>Installed wind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rates'!$H$70:$H$112</c:f>
              <c:numCache>
                <c:formatCode>0</c:formatCode>
                <c:ptCount val="43"/>
                <c:pt idx="0">
                  <c:v>115.56307999999996</c:v>
                </c:pt>
                <c:pt idx="1">
                  <c:v>150.11857299999997</c:v>
                </c:pt>
                <c:pt idx="2">
                  <c:v>180.849289</c:v>
                </c:pt>
                <c:pt idx="3">
                  <c:v>220.01909000000006</c:v>
                </c:pt>
                <c:pt idx="4">
                  <c:v>266.90755000000001</c:v>
                </c:pt>
                <c:pt idx="5">
                  <c:v>299.91860500000007</c:v>
                </c:pt>
                <c:pt idx="6">
                  <c:v>349.29990700000008</c:v>
                </c:pt>
                <c:pt idx="7">
                  <c:v>416.24831700000027</c:v>
                </c:pt>
                <c:pt idx="8">
                  <c:v>466.86423000000019</c:v>
                </c:pt>
                <c:pt idx="9">
                  <c:v>514.37380000000007</c:v>
                </c:pt>
                <c:pt idx="10">
                  <c:v>563.8298530000003</c:v>
                </c:pt>
                <c:pt idx="11">
                  <c:v>622.2488470000003</c:v>
                </c:pt>
                <c:pt idx="12" formatCode="General">
                  <c:v>731</c:v>
                </c:pt>
                <c:pt idx="13">
                  <c:v>804.1</c:v>
                </c:pt>
                <c:pt idx="14">
                  <c:v>884.5100000000001</c:v>
                </c:pt>
                <c:pt idx="15">
                  <c:v>972.96100000000024</c:v>
                </c:pt>
                <c:pt idx="16">
                  <c:v>1070.2571000000003</c:v>
                </c:pt>
                <c:pt idx="17">
                  <c:v>1177.2828100000004</c:v>
                </c:pt>
                <c:pt idx="18">
                  <c:v>1295.0110910000005</c:v>
                </c:pt>
                <c:pt idx="19">
                  <c:v>1424.5122001000007</c:v>
                </c:pt>
                <c:pt idx="20">
                  <c:v>1566.9634201100009</c:v>
                </c:pt>
                <c:pt idx="21">
                  <c:v>1723.6597621210012</c:v>
                </c:pt>
                <c:pt idx="22">
                  <c:v>1896.0257383331016</c:v>
                </c:pt>
                <c:pt idx="23">
                  <c:v>2085.6283121664119</c:v>
                </c:pt>
                <c:pt idx="24">
                  <c:v>2294.1911433830533</c:v>
                </c:pt>
                <c:pt idx="25">
                  <c:v>2523.6102577213587</c:v>
                </c:pt>
                <c:pt idx="26">
                  <c:v>2775.9712834934949</c:v>
                </c:pt>
                <c:pt idx="27">
                  <c:v>3025.8086990079096</c:v>
                </c:pt>
                <c:pt idx="28">
                  <c:v>3298.1314819186218</c:v>
                </c:pt>
                <c:pt idx="29">
                  <c:v>3561.9820004721118</c:v>
                </c:pt>
                <c:pt idx="30">
                  <c:v>3846.9405605098809</c:v>
                </c:pt>
                <c:pt idx="31">
                  <c:v>4077.756994140474</c:v>
                </c:pt>
                <c:pt idx="32">
                  <c:v>4322.4224137889023</c:v>
                </c:pt>
                <c:pt idx="33">
                  <c:v>4538.5435344783473</c:v>
                </c:pt>
                <c:pt idx="34">
                  <c:v>4765.4707112022652</c:v>
                </c:pt>
                <c:pt idx="35">
                  <c:v>5003.7442467623787</c:v>
                </c:pt>
                <c:pt idx="36">
                  <c:v>5203.8940166328739</c:v>
                </c:pt>
                <c:pt idx="37">
                  <c:v>5412.0497772981889</c:v>
                </c:pt>
                <c:pt idx="38">
                  <c:v>5574.4112706171345</c:v>
                </c:pt>
                <c:pt idx="39">
                  <c:v>5741.6436087356487</c:v>
                </c:pt>
                <c:pt idx="40">
                  <c:v>5913.8929169977182</c:v>
                </c:pt>
                <c:pt idx="41">
                  <c:v>6032.1707753376722</c:v>
                </c:pt>
                <c:pt idx="42">
                  <c:v>6092.4924830910486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7F2-493E-BBA4-4FED7E6CB660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29516872"/>
        <c:axId val="535106904"/>
      </c:lineChart>
      <c:catAx>
        <c:axId val="48226365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55784"/>
        <c:crosses val="autoZero"/>
        <c:auto val="1"/>
        <c:lblAlgn val="ctr"/>
        <c:lblOffset val="100"/>
        <c:noMultiLvlLbl val="0"/>
      </c:catAx>
      <c:valAx>
        <c:axId val="482255784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M€/MW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482263656"/>
        <c:crosses val="autoZero"/>
        <c:crossBetween val="between"/>
      </c:valAx>
      <c:valAx>
        <c:axId val="535106904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29516872"/>
        <c:crosses val="max"/>
        <c:crossBetween val="between"/>
      </c:valAx>
      <c:catAx>
        <c:axId val="529516872"/>
        <c:scaling>
          <c:orientation val="minMax"/>
        </c:scaling>
        <c:delete val="1"/>
        <c:axPos val="b"/>
        <c:majorTickMark val="out"/>
        <c:minorTickMark val="none"/>
        <c:tickLblPos val="nextTo"/>
        <c:crossAx val="535106904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 orientation="portrait"/>
  </c:printSettings>
</c:chartSpace>
</file>

<file path=xl/charts/chart12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rates'!$AH$70:$AH$112</c:f>
              <c:numCache>
                <c:formatCode>0%</c:formatCode>
                <c:ptCount val="43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 formatCode="0.0%">
                  <c:v>0.25</c:v>
                </c:pt>
                <c:pt idx="16" formatCode="0.0%">
                  <c:v>0.24</c:v>
                </c:pt>
                <c:pt idx="17" formatCode="0.0%">
                  <c:v>0.23</c:v>
                </c:pt>
                <c:pt idx="18" formatCode="0.0%">
                  <c:v>0.22</c:v>
                </c:pt>
                <c:pt idx="19" formatCode="0.0%">
                  <c:v>0.21</c:v>
                </c:pt>
                <c:pt idx="20" formatCode="0.0%">
                  <c:v>0.2</c:v>
                </c:pt>
                <c:pt idx="21" formatCode="0.0%">
                  <c:v>0.19</c:v>
                </c:pt>
                <c:pt idx="22" formatCode="0.0%">
                  <c:v>0.18</c:v>
                </c:pt>
                <c:pt idx="23" formatCode="0.0%">
                  <c:v>0.17</c:v>
                </c:pt>
                <c:pt idx="24" formatCode="0.0%">
                  <c:v>0.16</c:v>
                </c:pt>
                <c:pt idx="25" formatCode="0.0%">
                  <c:v>0.15</c:v>
                </c:pt>
                <c:pt idx="26" formatCode="0.0%">
                  <c:v>0.14000000000000001</c:v>
                </c:pt>
                <c:pt idx="27" formatCode="0.0%">
                  <c:v>0.13</c:v>
                </c:pt>
                <c:pt idx="28" formatCode="0.0%">
                  <c:v>0.12</c:v>
                </c:pt>
                <c:pt idx="29" formatCode="0.0%">
                  <c:v>0.11</c:v>
                </c:pt>
                <c:pt idx="30" formatCode="0.0%">
                  <c:v>0.1</c:v>
                </c:pt>
                <c:pt idx="31" formatCode="0.0%">
                  <c:v>0.1</c:v>
                </c:pt>
                <c:pt idx="32" formatCode="0.0%">
                  <c:v>0.1</c:v>
                </c:pt>
                <c:pt idx="33" formatCode="0.0%">
                  <c:v>0.1</c:v>
                </c:pt>
                <c:pt idx="34" formatCode="0.0%">
                  <c:v>0.1</c:v>
                </c:pt>
                <c:pt idx="35" formatCode="0.0%">
                  <c:v>0.1</c:v>
                </c:pt>
                <c:pt idx="36" formatCode="0.0%">
                  <c:v>0.1</c:v>
                </c:pt>
                <c:pt idx="37" formatCode="0.0%">
                  <c:v>0.1</c:v>
                </c:pt>
                <c:pt idx="38" formatCode="0.0%">
                  <c:v>0.1</c:v>
                </c:pt>
                <c:pt idx="39" formatCode="0.0%">
                  <c:v>0.1</c:v>
                </c:pt>
                <c:pt idx="40" formatCode="0.0%">
                  <c:v>0.1</c:v>
                </c:pt>
                <c:pt idx="41" formatCode="0.0%">
                  <c:v>0.1</c:v>
                </c:pt>
                <c:pt idx="42" formatCode="0.0%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A158-462D-8736-74A2F37660E8}"/>
            </c:ext>
          </c:extLst>
        </c:ser>
        <c:ser>
          <c:idx val="1"/>
          <c:order val="1"/>
          <c:tx>
            <c:v>Historic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rates'!$AH$70:$AH$84</c:f>
              <c:numCache>
                <c:formatCode>0%</c:formatCode>
                <c:ptCount val="15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A158-462D-8736-74A2F37660E8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578624"/>
        <c:axId val="616578296"/>
      </c:lineChart>
      <c:catAx>
        <c:axId val="616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296"/>
        <c:crosses val="autoZero"/>
        <c:auto val="1"/>
        <c:lblAlgn val="ctr"/>
        <c:lblOffset val="100"/>
        <c:noMultiLvlLbl val="0"/>
      </c:catAx>
      <c:valAx>
        <c:axId val="6165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3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Offshore LCOE (onshore reception)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rates'!$J$70:$J$112</c:f>
              <c:numCache>
                <c:formatCode>0.000</c:formatCode>
                <c:ptCount val="43"/>
                <c:pt idx="0">
                  <c:v>0.15129999999999999</c:v>
                </c:pt>
                <c:pt idx="1">
                  <c:v>0.13344999999999999</c:v>
                </c:pt>
                <c:pt idx="2">
                  <c:v>0.13685</c:v>
                </c:pt>
                <c:pt idx="3">
                  <c:v>0.14874999999999999</c:v>
                </c:pt>
                <c:pt idx="4">
                  <c:v>0.13089999999999999</c:v>
                </c:pt>
                <c:pt idx="5">
                  <c:v>0.15045</c:v>
                </c:pt>
                <c:pt idx="6">
                  <c:v>0.15554999999999999</c:v>
                </c:pt>
                <c:pt idx="7">
                  <c:v>0.14365</c:v>
                </c:pt>
                <c:pt idx="8">
                  <c:v>0.12409999999999999</c:v>
                </c:pt>
                <c:pt idx="9">
                  <c:v>0.11135</c:v>
                </c:pt>
                <c:pt idx="10">
                  <c:v>0.10795</c:v>
                </c:pt>
                <c:pt idx="11">
                  <c:v>9.7750000000000004E-2</c:v>
                </c:pt>
                <c:pt idx="12">
                  <c:v>0.10795</c:v>
                </c:pt>
                <c:pt idx="13">
                  <c:v>0.11815000000000001</c:v>
                </c:pt>
                <c:pt idx="14">
                  <c:v>8.2449999999999996E-2</c:v>
                </c:pt>
                <c:pt idx="15">
                  <c:v>6.9699999999999998E-2</c:v>
                </c:pt>
                <c:pt idx="16">
                  <c:v>6.3806265245077598E-2</c:v>
                </c:pt>
                <c:pt idx="17">
                  <c:v>5.8835147000706856E-2</c:v>
                </c:pt>
                <c:pt idx="18">
                  <c:v>5.4627333081980881E-2</c:v>
                </c:pt>
                <c:pt idx="19">
                  <c:v>5.1055336289123975E-2</c:v>
                </c:pt>
                <c:pt idx="20">
                  <c:v>4.8016467287898296E-2</c:v>
                </c:pt>
                <c:pt idx="21">
                  <c:v>4.542747686656752E-2</c:v>
                </c:pt>
                <c:pt idx="22">
                  <c:v>4.3324992516074086E-2</c:v>
                </c:pt>
                <c:pt idx="23">
                  <c:v>4.163045031388897E-2</c:v>
                </c:pt>
                <c:pt idx="24">
                  <c:v>4.0280729992315141E-2</c:v>
                </c:pt>
                <c:pt idx="25">
                  <c:v>3.9224500004835398E-2</c:v>
                </c:pt>
                <c:pt idx="26">
                  <c:v>3.8419412775821511E-2</c:v>
                </c:pt>
                <c:pt idx="27">
                  <c:v>3.7759937261904804E-2</c:v>
                </c:pt>
                <c:pt idx="28">
                  <c:v>3.7164551678768101E-2</c:v>
                </c:pt>
                <c:pt idx="29">
                  <c:v>3.6686780747292431E-2</c:v>
                </c:pt>
                <c:pt idx="30">
                  <c:v>3.6260107724927722E-2</c:v>
                </c:pt>
                <c:pt idx="31">
                  <c:v>3.5940368048435874E-2</c:v>
                </c:pt>
                <c:pt idx="32">
                  <c:v>3.5623447819186124E-2</c:v>
                </c:pt>
                <c:pt idx="33">
                  <c:v>3.5360232457367635E-2</c:v>
                </c:pt>
                <c:pt idx="34">
                  <c:v>3.5098961947351501E-2</c:v>
                </c:pt>
                <c:pt idx="35">
                  <c:v>3.4839621918971379E-2</c:v>
                </c:pt>
                <c:pt idx="36">
                  <c:v>3.4632537497500941E-2</c:v>
                </c:pt>
                <c:pt idx="37">
                  <c:v>3.4426683972212886E-2</c:v>
                </c:pt>
                <c:pt idx="38">
                  <c:v>3.4272350840973013E-2</c:v>
                </c:pt>
                <c:pt idx="39">
                  <c:v>3.4118709577570822E-2</c:v>
                </c:pt>
                <c:pt idx="40">
                  <c:v>3.3965757080396813E-2</c:v>
                </c:pt>
                <c:pt idx="41">
                  <c:v>3.386367181151155E-2</c:v>
                </c:pt>
                <c:pt idx="42">
                  <c:v>3.3812492362649889E-2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4D64-4CC4-95D6-61C4E3FB97F5}"/>
            </c:ext>
          </c:extLst>
        </c:ser>
        <c:ser>
          <c:idx val="1"/>
          <c:order val="1"/>
          <c:tx>
            <c:v>Historic &amp; auction/PPA &gt;2020</c:v>
          </c:tx>
          <c:spPr>
            <a:ln w="28575" cap="rnd">
              <a:solidFill>
                <a:schemeClr val="accent1">
                  <a:lumMod val="60000"/>
                  <a:lumOff val="40000"/>
                </a:schemeClr>
              </a:solidFill>
              <a:round/>
            </a:ln>
            <a:effectLst/>
          </c:spPr>
          <c:marker>
            <c:symbol val="circle"/>
            <c:size val="5"/>
            <c:spPr>
              <a:solidFill>
                <a:schemeClr val="tx1"/>
              </a:solidFill>
              <a:ln w="9525">
                <a:solidFill>
                  <a:schemeClr val="accent2"/>
                </a:solidFill>
              </a:ln>
              <a:effectLst/>
            </c:spPr>
          </c:marker>
          <c:val>
            <c:numRef>
              <c:f>'Learning rates'!$J$70:$J$85</c:f>
              <c:numCache>
                <c:formatCode>0.000</c:formatCode>
                <c:ptCount val="16"/>
                <c:pt idx="0">
                  <c:v>0.15129999999999999</c:v>
                </c:pt>
                <c:pt idx="1">
                  <c:v>0.13344999999999999</c:v>
                </c:pt>
                <c:pt idx="2">
                  <c:v>0.13685</c:v>
                </c:pt>
                <c:pt idx="3">
                  <c:v>0.14874999999999999</c:v>
                </c:pt>
                <c:pt idx="4">
                  <c:v>0.13089999999999999</c:v>
                </c:pt>
                <c:pt idx="5">
                  <c:v>0.15045</c:v>
                </c:pt>
                <c:pt idx="6">
                  <c:v>0.15554999999999999</c:v>
                </c:pt>
                <c:pt idx="7">
                  <c:v>0.14365</c:v>
                </c:pt>
                <c:pt idx="8">
                  <c:v>0.12409999999999999</c:v>
                </c:pt>
                <c:pt idx="9">
                  <c:v>0.11135</c:v>
                </c:pt>
                <c:pt idx="10">
                  <c:v>0.10795</c:v>
                </c:pt>
                <c:pt idx="11">
                  <c:v>9.7750000000000004E-2</c:v>
                </c:pt>
                <c:pt idx="12">
                  <c:v>0.10795</c:v>
                </c:pt>
                <c:pt idx="13">
                  <c:v>0.11815000000000001</c:v>
                </c:pt>
                <c:pt idx="14">
                  <c:v>8.2449999999999996E-2</c:v>
                </c:pt>
                <c:pt idx="15">
                  <c:v>6.9699999999999998E-2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2-4D64-4CC4-95D6-61C4E3FB9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77208736"/>
        <c:axId val="577207752"/>
      </c:lineChart>
      <c:lineChart>
        <c:grouping val="standard"/>
        <c:varyColors val="0"/>
        <c:ser>
          <c:idx val="2"/>
          <c:order val="2"/>
          <c:tx>
            <c:v>Offshore capacity - assumed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rates'!$D$70:$D$112</c:f>
              <c:numCache>
                <c:formatCode>General</c:formatCode>
                <c:ptCount val="43"/>
                <c:pt idx="12" formatCode="0">
                  <c:v>35</c:v>
                </c:pt>
                <c:pt idx="13" formatCode="0">
                  <c:v>45.5</c:v>
                </c:pt>
                <c:pt idx="14" formatCode="0">
                  <c:v>58.24</c:v>
                </c:pt>
                <c:pt idx="15" formatCode="0">
                  <c:v>73.382400000000004</c:v>
                </c:pt>
                <c:pt idx="16" formatCode="0">
                  <c:v>91.728000000000009</c:v>
                </c:pt>
                <c:pt idx="17" formatCode="0">
                  <c:v>113.74272000000001</c:v>
                </c:pt>
                <c:pt idx="18" formatCode="0">
                  <c:v>139.9035456</c:v>
                </c:pt>
                <c:pt idx="19" formatCode="0">
                  <c:v>170.68232563199999</c:v>
                </c:pt>
                <c:pt idx="20" formatCode="0">
                  <c:v>206.52561401471999</c:v>
                </c:pt>
                <c:pt idx="21" formatCode="0">
                  <c:v>247.83073681766399</c:v>
                </c:pt>
                <c:pt idx="22" formatCode="0">
                  <c:v>292.44026944484347</c:v>
                </c:pt>
                <c:pt idx="23" formatCode="0">
                  <c:v>339.23071255601837</c:v>
                </c:pt>
                <c:pt idx="24" formatCode="0">
                  <c:v>386.72301231386098</c:v>
                </c:pt>
                <c:pt idx="25" formatCode="0">
                  <c:v>433.12977379152431</c:v>
                </c:pt>
                <c:pt idx="26" formatCode="0">
                  <c:v>476.44275117067679</c:v>
                </c:pt>
                <c:pt idx="27" formatCode="0">
                  <c:v>519.32259877603769</c:v>
                </c:pt>
                <c:pt idx="28" formatCode="0">
                  <c:v>566.06163266588112</c:v>
                </c:pt>
                <c:pt idx="29" formatCode="0">
                  <c:v>611.34656327915161</c:v>
                </c:pt>
                <c:pt idx="30" formatCode="0">
                  <c:v>660.25428834148374</c:v>
                </c:pt>
                <c:pt idx="31" formatCode="0">
                  <c:v>699.86954564197276</c:v>
                </c:pt>
                <c:pt idx="32" formatCode="0">
                  <c:v>741.8617183804912</c:v>
                </c:pt>
                <c:pt idx="33" formatCode="0">
                  <c:v>778.95480429951579</c:v>
                </c:pt>
                <c:pt idx="34" formatCode="0">
                  <c:v>817.90254451449164</c:v>
                </c:pt>
                <c:pt idx="35" formatCode="0">
                  <c:v>858.79767174021629</c:v>
                </c:pt>
                <c:pt idx="36" formatCode="0">
                  <c:v>893.14957860982497</c:v>
                </c:pt>
                <c:pt idx="37" formatCode="0">
                  <c:v>928.87556175421798</c:v>
                </c:pt>
                <c:pt idx="38" formatCode="0">
                  <c:v>956.74182860684459</c:v>
                </c:pt>
                <c:pt idx="39" formatCode="0">
                  <c:v>985.44408346504997</c:v>
                </c:pt>
                <c:pt idx="40" formatCode="0">
                  <c:v>1015.0074059690015</c:v>
                </c:pt>
                <c:pt idx="41" formatCode="0">
                  <c:v>1035.3075540883815</c:v>
                </c:pt>
                <c:pt idx="42" formatCode="0">
                  <c:v>1045.6606296292653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3-4D64-4CC4-95D6-61C4E3FB97F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2998768"/>
        <c:axId val="532998440"/>
      </c:lineChart>
      <c:catAx>
        <c:axId val="577208736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7752"/>
        <c:crosses val="autoZero"/>
        <c:auto val="1"/>
        <c:lblAlgn val="ctr"/>
        <c:lblOffset val="100"/>
        <c:noMultiLvlLbl val="0"/>
      </c:catAx>
      <c:valAx>
        <c:axId val="577207752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€/kWh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.000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77208736"/>
        <c:crosses val="autoZero"/>
        <c:crossBetween val="between"/>
      </c:valAx>
      <c:valAx>
        <c:axId val="53299844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2998768"/>
        <c:crosses val="max"/>
        <c:crossBetween val="between"/>
      </c:valAx>
      <c:catAx>
        <c:axId val="532998768"/>
        <c:scaling>
          <c:orientation val="minMax"/>
        </c:scaling>
        <c:delete val="1"/>
        <c:axPos val="b"/>
        <c:majorTickMark val="out"/>
        <c:minorTickMark val="none"/>
        <c:tickLblPos val="nextTo"/>
        <c:crossAx val="53299844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4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en-US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rates'!$AH$70:$AH$112</c:f>
              <c:numCache>
                <c:formatCode>0%</c:formatCode>
                <c:ptCount val="43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  <c:pt idx="15" formatCode="0.0%">
                  <c:v>0.25</c:v>
                </c:pt>
                <c:pt idx="16" formatCode="0.0%">
                  <c:v>0.24</c:v>
                </c:pt>
                <c:pt idx="17" formatCode="0.0%">
                  <c:v>0.23</c:v>
                </c:pt>
                <c:pt idx="18" formatCode="0.0%">
                  <c:v>0.22</c:v>
                </c:pt>
                <c:pt idx="19" formatCode="0.0%">
                  <c:v>0.21</c:v>
                </c:pt>
                <c:pt idx="20" formatCode="0.0%">
                  <c:v>0.2</c:v>
                </c:pt>
                <c:pt idx="21" formatCode="0.0%">
                  <c:v>0.19</c:v>
                </c:pt>
                <c:pt idx="22" formatCode="0.0%">
                  <c:v>0.18</c:v>
                </c:pt>
                <c:pt idx="23" formatCode="0.0%">
                  <c:v>0.17</c:v>
                </c:pt>
                <c:pt idx="24" formatCode="0.0%">
                  <c:v>0.16</c:v>
                </c:pt>
                <c:pt idx="25" formatCode="0.0%">
                  <c:v>0.15</c:v>
                </c:pt>
                <c:pt idx="26" formatCode="0.0%">
                  <c:v>0.14000000000000001</c:v>
                </c:pt>
                <c:pt idx="27" formatCode="0.0%">
                  <c:v>0.13</c:v>
                </c:pt>
                <c:pt idx="28" formatCode="0.0%">
                  <c:v>0.12</c:v>
                </c:pt>
                <c:pt idx="29" formatCode="0.0%">
                  <c:v>0.11</c:v>
                </c:pt>
                <c:pt idx="30" formatCode="0.0%">
                  <c:v>0.1</c:v>
                </c:pt>
                <c:pt idx="31" formatCode="0.0%">
                  <c:v>0.1</c:v>
                </c:pt>
                <c:pt idx="32" formatCode="0.0%">
                  <c:v>0.1</c:v>
                </c:pt>
                <c:pt idx="33" formatCode="0.0%">
                  <c:v>0.1</c:v>
                </c:pt>
                <c:pt idx="34" formatCode="0.0%">
                  <c:v>0.1</c:v>
                </c:pt>
                <c:pt idx="35" formatCode="0.0%">
                  <c:v>0.1</c:v>
                </c:pt>
                <c:pt idx="36" formatCode="0.0%">
                  <c:v>0.1</c:v>
                </c:pt>
                <c:pt idx="37" formatCode="0.0%">
                  <c:v>0.1</c:v>
                </c:pt>
                <c:pt idx="38" formatCode="0.0%">
                  <c:v>0.1</c:v>
                </c:pt>
                <c:pt idx="39" formatCode="0.0%">
                  <c:v>0.1</c:v>
                </c:pt>
                <c:pt idx="40" formatCode="0.0%">
                  <c:v>0.1</c:v>
                </c:pt>
                <c:pt idx="41" formatCode="0.0%">
                  <c:v>0.1</c:v>
                </c:pt>
                <c:pt idx="42" formatCode="0.0%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B43C-4A13-B879-C0ABA80E6C26}"/>
            </c:ext>
          </c:extLst>
        </c:ser>
        <c:ser>
          <c:idx val="1"/>
          <c:order val="1"/>
          <c:tx>
            <c:v>Historic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rates'!$AH$70:$AH$84</c:f>
              <c:numCache>
                <c:formatCode>0%</c:formatCode>
                <c:ptCount val="15"/>
                <c:pt idx="0">
                  <c:v>0.26</c:v>
                </c:pt>
                <c:pt idx="1">
                  <c:v>0.26</c:v>
                </c:pt>
                <c:pt idx="2">
                  <c:v>0.26</c:v>
                </c:pt>
                <c:pt idx="3">
                  <c:v>0.26</c:v>
                </c:pt>
                <c:pt idx="4">
                  <c:v>0.26</c:v>
                </c:pt>
                <c:pt idx="5">
                  <c:v>0.26</c:v>
                </c:pt>
                <c:pt idx="6">
                  <c:v>0.26</c:v>
                </c:pt>
                <c:pt idx="7">
                  <c:v>0.26</c:v>
                </c:pt>
                <c:pt idx="8">
                  <c:v>0.26</c:v>
                </c:pt>
                <c:pt idx="9">
                  <c:v>0.26</c:v>
                </c:pt>
                <c:pt idx="10">
                  <c:v>0.26</c:v>
                </c:pt>
                <c:pt idx="11">
                  <c:v>0.26</c:v>
                </c:pt>
                <c:pt idx="12">
                  <c:v>0.26</c:v>
                </c:pt>
                <c:pt idx="13">
                  <c:v>0.26</c:v>
                </c:pt>
                <c:pt idx="14">
                  <c:v>0.26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B43C-4A13-B879-C0ABA80E6C26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616578624"/>
        <c:axId val="616578296"/>
      </c:lineChart>
      <c:catAx>
        <c:axId val="616578624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2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296"/>
        <c:crosses val="autoZero"/>
        <c:auto val="1"/>
        <c:lblAlgn val="ctr"/>
        <c:lblOffset val="100"/>
        <c:noMultiLvlLbl val="0"/>
      </c:catAx>
      <c:valAx>
        <c:axId val="616578296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616578624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5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Floating substructure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0"/>
          <c:order val="0"/>
          <c:tx>
            <c:v>Floating substructure, total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rates'!$AD$70:$AD$112</c:f>
              <c:numCache>
                <c:formatCode>General</c:formatCode>
                <c:ptCount val="43"/>
                <c:pt idx="27" formatCode="0">
                  <c:v>892.5</c:v>
                </c:pt>
                <c:pt idx="28" formatCode="0">
                  <c:v>820.21301903071753</c:v>
                </c:pt>
                <c:pt idx="29" formatCode="0">
                  <c:v>753.78083651258726</c:v>
                </c:pt>
                <c:pt idx="30" formatCode="0">
                  <c:v>692.72924997589791</c:v>
                </c:pt>
                <c:pt idx="31" formatCode="0">
                  <c:v>639.8079387302015</c:v>
                </c:pt>
                <c:pt idx="32" formatCode="0">
                  <c:v>596.3982463812082</c:v>
                </c:pt>
                <c:pt idx="33" formatCode="0">
                  <c:v>559.4877930529608</c:v>
                </c:pt>
                <c:pt idx="34" formatCode="0">
                  <c:v>528.05274056138012</c:v>
                </c:pt>
                <c:pt idx="35" formatCode="0">
                  <c:v>502.28991168903337</c:v>
                </c:pt>
                <c:pt idx="36" formatCode="0">
                  <c:v>480.3349222903571</c:v>
                </c:pt>
                <c:pt idx="37" formatCode="0">
                  <c:v>461.65229807620887</c:v>
                </c:pt>
                <c:pt idx="38" formatCode="0">
                  <c:v>446.55298221388171</c:v>
                </c:pt>
                <c:pt idx="39" formatCode="0">
                  <c:v>434.4955741849376</c:v>
                </c:pt>
                <c:pt idx="40" formatCode="0">
                  <c:v>425.02879760539929</c:v>
                </c:pt>
                <c:pt idx="41" formatCode="0">
                  <c:v>417.76982165591835</c:v>
                </c:pt>
                <c:pt idx="42" formatCode="0">
                  <c:v>411.7610365849178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0-5D05-488B-AC3A-9E9AA28CA2C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36414368"/>
        <c:axId val="536416008"/>
      </c:lineChart>
      <c:lineChart>
        <c:grouping val="standard"/>
        <c:varyColors val="0"/>
        <c:ser>
          <c:idx val="1"/>
          <c:order val="1"/>
          <c:tx>
            <c:v>Installed floating wind capacity</c:v>
          </c:tx>
          <c:spPr>
            <a:ln w="28575" cap="rnd">
              <a:solidFill>
                <a:schemeClr val="accent2"/>
              </a:solidFill>
              <a:round/>
            </a:ln>
            <a:effectLst/>
          </c:spPr>
          <c:marker>
            <c:symbol val="none"/>
          </c:marker>
          <c:val>
            <c:numRef>
              <c:f>'Learning rates'!$F$70:$F$112</c:f>
              <c:numCache>
                <c:formatCode>0</c:formatCode>
                <c:ptCount val="43"/>
                <c:pt idx="17">
                  <c:v>0.1</c:v>
                </c:pt>
                <c:pt idx="18">
                  <c:v>1</c:v>
                </c:pt>
                <c:pt idx="19">
                  <c:v>2</c:v>
                </c:pt>
                <c:pt idx="20">
                  <c:v>4</c:v>
                </c:pt>
                <c:pt idx="21">
                  <c:v>8</c:v>
                </c:pt>
                <c:pt idx="22">
                  <c:v>12</c:v>
                </c:pt>
                <c:pt idx="23">
                  <c:v>15.600000000000001</c:v>
                </c:pt>
                <c:pt idx="24">
                  <c:v>20.28</c:v>
                </c:pt>
                <c:pt idx="25">
                  <c:v>26.364000000000001</c:v>
                </c:pt>
                <c:pt idx="26">
                  <c:v>33.745919999999998</c:v>
                </c:pt>
                <c:pt idx="27">
                  <c:v>42.519859199999999</c:v>
                </c:pt>
                <c:pt idx="28">
                  <c:v>53.149823999999995</c:v>
                </c:pt>
                <c:pt idx="29">
                  <c:v>65.905781759999996</c:v>
                </c:pt>
                <c:pt idx="30">
                  <c:v>80.4050537472</c:v>
                </c:pt>
                <c:pt idx="31">
                  <c:v>97.290115034111992</c:v>
                </c:pt>
                <c:pt idx="32">
                  <c:v>116.74813804093438</c:v>
                </c:pt>
                <c:pt idx="33">
                  <c:v>137.76280288830256</c:v>
                </c:pt>
                <c:pt idx="34">
                  <c:v>159.80485135043097</c:v>
                </c:pt>
                <c:pt idx="35">
                  <c:v>182.17753053949133</c:v>
                </c:pt>
                <c:pt idx="36">
                  <c:v>204.03883420423031</c:v>
                </c:pt>
                <c:pt idx="37">
                  <c:v>224.44271762465337</c:v>
                </c:pt>
                <c:pt idx="38">
                  <c:v>246.88698938711872</c:v>
                </c:pt>
                <c:pt idx="39">
                  <c:v>271.57568832583058</c:v>
                </c:pt>
                <c:pt idx="40">
                  <c:v>298.73325715841366</c:v>
                </c:pt>
                <c:pt idx="41">
                  <c:v>328.60658287425508</c:v>
                </c:pt>
                <c:pt idx="42">
                  <c:v>361.46724116168065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8-2B56-4ADF-950A-1573A827CC6C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marker val="1"/>
        <c:smooth val="0"/>
        <c:axId val="589845792"/>
        <c:axId val="589854320"/>
      </c:lineChart>
      <c:catAx>
        <c:axId val="5364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6008"/>
        <c:crosses val="autoZero"/>
        <c:auto val="1"/>
        <c:lblAlgn val="ctr"/>
        <c:lblOffset val="100"/>
        <c:noMultiLvlLbl val="0"/>
      </c:catAx>
      <c:valAx>
        <c:axId val="5364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nl-NL" sz="1400" b="1">
                    <a:solidFill>
                      <a:sysClr val="windowText" lastClr="000000"/>
                    </a:solidFill>
                  </a:rPr>
                  <a:t>€/kW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General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4368"/>
        <c:crosses val="autoZero"/>
        <c:crossBetween val="between"/>
      </c:valAx>
      <c:valAx>
        <c:axId val="589854320"/>
        <c:scaling>
          <c:orientation val="minMax"/>
        </c:scaling>
        <c:delete val="0"/>
        <c:axPos val="r"/>
        <c:title>
          <c:tx>
            <c:rich>
              <a:bodyPr rot="-5400000" spcFirstLastPara="1" vertOverflow="ellipsis" vert="horz" wrap="square" anchor="ctr" anchorCtr="1"/>
              <a:lstStyle/>
              <a:p>
                <a:pPr>
                  <a:defRPr sz="1400" b="1" i="0" u="none" strike="noStrike" kern="1200" baseline="0">
                    <a:solidFill>
                      <a:sysClr val="windowText" lastClr="000000"/>
                    </a:solidFill>
                    <a:latin typeface="+mn-lt"/>
                    <a:ea typeface="+mn-ea"/>
                    <a:cs typeface="+mn-cs"/>
                  </a:defRPr>
                </a:pPr>
                <a:r>
                  <a:rPr lang="en-US" sz="1400" b="1">
                    <a:solidFill>
                      <a:sysClr val="windowText" lastClr="000000"/>
                    </a:solidFill>
                  </a:rPr>
                  <a:t>GW</a:t>
                </a:r>
              </a:p>
            </c:rich>
          </c:tx>
          <c:overlay val="0"/>
          <c:spPr>
            <a:noFill/>
            <a:ln>
              <a:noFill/>
            </a:ln>
            <a:effectLst/>
          </c:spPr>
          <c:txPr>
            <a:bodyPr rot="-5400000" spcFirstLastPara="1" vertOverflow="ellipsis" vert="horz" wrap="square" anchor="ctr" anchorCtr="1"/>
            <a:lstStyle/>
            <a:p>
              <a:pPr>
                <a:defRPr sz="1400" b="1" i="0" u="none" strike="noStrike" kern="1200" baseline="0">
                  <a:solidFill>
                    <a:sysClr val="windowText" lastClr="000000"/>
                  </a:solidFill>
                  <a:latin typeface="+mn-lt"/>
                  <a:ea typeface="+mn-ea"/>
                  <a:cs typeface="+mn-cs"/>
                </a:defRPr>
              </a:pPr>
              <a:endParaRPr lang="en-US"/>
            </a:p>
          </c:txPr>
        </c:title>
        <c:numFmt formatCode="0" sourceLinked="1"/>
        <c:majorTickMark val="out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89845792"/>
        <c:crosses val="max"/>
        <c:crossBetween val="between"/>
      </c:valAx>
      <c:catAx>
        <c:axId val="589845792"/>
        <c:scaling>
          <c:orientation val="minMax"/>
        </c:scaling>
        <c:delete val="1"/>
        <c:axPos val="b"/>
        <c:majorTickMark val="out"/>
        <c:minorTickMark val="none"/>
        <c:tickLblPos val="nextTo"/>
        <c:crossAx val="589854320"/>
        <c:crosses val="autoZero"/>
        <c:auto val="1"/>
        <c:lblAlgn val="ctr"/>
        <c:lblOffset val="100"/>
        <c:noMultiLvlLbl val="0"/>
      </c:cat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hart16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en-US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title>
      <c:tx>
        <c:rich>
          <a:bodyPr rot="0" spcFirstLastPara="1" vertOverflow="ellipsis" vert="horz" wrap="square" anchor="ctr" anchorCtr="1"/>
          <a:lstStyle/>
          <a:p>
            <a:pPr>
              <a:defRPr sz="1400" b="1" i="0" u="none" strike="noStrike" kern="1200" spc="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r>
              <a:rPr lang="nl-NL" b="1">
                <a:solidFill>
                  <a:sysClr val="windowText" lastClr="000000"/>
                </a:solidFill>
              </a:rPr>
              <a:t>Learning rate</a:t>
            </a:r>
          </a:p>
        </c:rich>
      </c:tx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spc="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title>
    <c:autoTitleDeleted val="0"/>
    <c:plotArea>
      <c:layout/>
      <c:lineChart>
        <c:grouping val="standard"/>
        <c:varyColors val="0"/>
        <c:ser>
          <c:idx val="1"/>
          <c:order val="0"/>
          <c:tx>
            <c:v>Assumed</c:v>
          </c:tx>
          <c:spPr>
            <a:ln w="28575" cap="rnd">
              <a:solidFill>
                <a:schemeClr val="accent1"/>
              </a:solidFill>
              <a:round/>
            </a:ln>
            <a:effectLst/>
          </c:spPr>
          <c:marker>
            <c:symbol val="none"/>
          </c:marker>
          <c:cat>
            <c:numRef>
              <c:f>'Learning rates'!$B$70:$B$112</c:f>
              <c:numCache>
                <c:formatCode>General</c:formatCode>
                <c:ptCount val="43"/>
                <c:pt idx="0">
                  <c:v>2008</c:v>
                </c:pt>
                <c:pt idx="1">
                  <c:v>2009</c:v>
                </c:pt>
                <c:pt idx="2">
                  <c:v>2010</c:v>
                </c:pt>
                <c:pt idx="3">
                  <c:v>2011</c:v>
                </c:pt>
                <c:pt idx="4">
                  <c:v>2012</c:v>
                </c:pt>
                <c:pt idx="5">
                  <c:v>2013</c:v>
                </c:pt>
                <c:pt idx="6">
                  <c:v>2014</c:v>
                </c:pt>
                <c:pt idx="7">
                  <c:v>2015</c:v>
                </c:pt>
                <c:pt idx="8">
                  <c:v>2016</c:v>
                </c:pt>
                <c:pt idx="9">
                  <c:v>2017</c:v>
                </c:pt>
                <c:pt idx="10">
                  <c:v>2018</c:v>
                </c:pt>
                <c:pt idx="11">
                  <c:v>2019</c:v>
                </c:pt>
                <c:pt idx="12">
                  <c:v>2020</c:v>
                </c:pt>
                <c:pt idx="13">
                  <c:v>2021</c:v>
                </c:pt>
                <c:pt idx="14">
                  <c:v>2022</c:v>
                </c:pt>
                <c:pt idx="15">
                  <c:v>2023</c:v>
                </c:pt>
                <c:pt idx="16">
                  <c:v>2024</c:v>
                </c:pt>
                <c:pt idx="17">
                  <c:v>2025</c:v>
                </c:pt>
                <c:pt idx="18">
                  <c:v>2026</c:v>
                </c:pt>
                <c:pt idx="19">
                  <c:v>2027</c:v>
                </c:pt>
                <c:pt idx="20">
                  <c:v>2028</c:v>
                </c:pt>
                <c:pt idx="21">
                  <c:v>2029</c:v>
                </c:pt>
                <c:pt idx="22">
                  <c:v>2030</c:v>
                </c:pt>
                <c:pt idx="23">
                  <c:v>2031</c:v>
                </c:pt>
                <c:pt idx="24">
                  <c:v>2032</c:v>
                </c:pt>
                <c:pt idx="25">
                  <c:v>2033</c:v>
                </c:pt>
                <c:pt idx="26">
                  <c:v>2034</c:v>
                </c:pt>
                <c:pt idx="27">
                  <c:v>2035</c:v>
                </c:pt>
                <c:pt idx="28">
                  <c:v>2036</c:v>
                </c:pt>
                <c:pt idx="29">
                  <c:v>2037</c:v>
                </c:pt>
                <c:pt idx="30">
                  <c:v>2038</c:v>
                </c:pt>
                <c:pt idx="31">
                  <c:v>2039</c:v>
                </c:pt>
                <c:pt idx="32">
                  <c:v>2040</c:v>
                </c:pt>
                <c:pt idx="33">
                  <c:v>2041</c:v>
                </c:pt>
                <c:pt idx="34">
                  <c:v>2042</c:v>
                </c:pt>
                <c:pt idx="35">
                  <c:v>2043</c:v>
                </c:pt>
                <c:pt idx="36">
                  <c:v>2044</c:v>
                </c:pt>
                <c:pt idx="37">
                  <c:v>2045</c:v>
                </c:pt>
                <c:pt idx="38">
                  <c:v>2046</c:v>
                </c:pt>
                <c:pt idx="39">
                  <c:v>2047</c:v>
                </c:pt>
                <c:pt idx="40">
                  <c:v>2048</c:v>
                </c:pt>
                <c:pt idx="41">
                  <c:v>2049</c:v>
                </c:pt>
                <c:pt idx="42">
                  <c:v>2050</c:v>
                </c:pt>
              </c:numCache>
            </c:numRef>
          </c:cat>
          <c:val>
            <c:numRef>
              <c:f>'Learning rates'!$AN$70:$AN$112</c:f>
              <c:numCache>
                <c:formatCode>0%</c:formatCode>
                <c:ptCount val="43"/>
                <c:pt idx="27">
                  <c:v>0.2</c:v>
                </c:pt>
                <c:pt idx="28">
                  <c:v>0.2</c:v>
                </c:pt>
                <c:pt idx="29">
                  <c:v>0.2</c:v>
                </c:pt>
                <c:pt idx="30">
                  <c:v>0.2</c:v>
                </c:pt>
                <c:pt idx="31">
                  <c:v>0.2</c:v>
                </c:pt>
                <c:pt idx="32">
                  <c:v>0.19</c:v>
                </c:pt>
                <c:pt idx="33">
                  <c:v>0.18</c:v>
                </c:pt>
                <c:pt idx="34">
                  <c:v>0.17</c:v>
                </c:pt>
                <c:pt idx="35">
                  <c:v>0.16</c:v>
                </c:pt>
                <c:pt idx="36">
                  <c:v>0.15</c:v>
                </c:pt>
                <c:pt idx="37">
                  <c:v>0.14000000000000001</c:v>
                </c:pt>
                <c:pt idx="38">
                  <c:v>0.13</c:v>
                </c:pt>
                <c:pt idx="39">
                  <c:v>0.12</c:v>
                </c:pt>
                <c:pt idx="40">
                  <c:v>0.11</c:v>
                </c:pt>
                <c:pt idx="41">
                  <c:v>0.1</c:v>
                </c:pt>
                <c:pt idx="42">
                  <c:v>0.1</c:v>
                </c:pt>
              </c:numCache>
            </c:numRef>
          </c:val>
          <c:smooth val="0"/>
          <c:extLst>
            <c:ext xmlns:c16="http://schemas.microsoft.com/office/drawing/2014/chart" uri="{C3380CC4-5D6E-409C-BE32-E72D297353CC}">
              <c16:uniqueId val="{00000001-9421-4010-8EC9-853059477D1E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smooth val="0"/>
        <c:axId val="536414368"/>
        <c:axId val="536416008"/>
      </c:lineChart>
      <c:catAx>
        <c:axId val="536414368"/>
        <c:scaling>
          <c:orientation val="minMax"/>
        </c:scaling>
        <c:delete val="0"/>
        <c:axPos val="b"/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15000"/>
                <a:lumOff val="8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6008"/>
        <c:crosses val="autoZero"/>
        <c:auto val="1"/>
        <c:lblAlgn val="ctr"/>
        <c:lblOffset val="100"/>
        <c:noMultiLvlLbl val="0"/>
      </c:catAx>
      <c:valAx>
        <c:axId val="536416008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0%" sourceLinked="1"/>
        <c:majorTickMark val="none"/>
        <c:minorTickMark val="none"/>
        <c:tickLblPos val="nextTo"/>
        <c:spPr>
          <a:noFill/>
          <a:ln>
            <a:noFill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1100" b="1" i="0" u="none" strike="noStrike" kern="1200" baseline="0">
                <a:solidFill>
                  <a:sysClr val="windowText" lastClr="000000"/>
                </a:solidFill>
                <a:latin typeface="+mn-lt"/>
                <a:ea typeface="+mn-ea"/>
                <a:cs typeface="+mn-cs"/>
              </a:defRPr>
            </a:pPr>
            <a:endParaRPr lang="en-US"/>
          </a:p>
        </c:txPr>
        <c:crossAx val="536414368"/>
        <c:crosses val="autoZero"/>
        <c:crossBetween val="between"/>
      </c:valAx>
      <c:spPr>
        <a:noFill/>
        <a:ln>
          <a:noFill/>
        </a:ln>
        <a:effectLst/>
      </c:spPr>
    </c:plotArea>
    <c:legend>
      <c:legendPos val="b"/>
      <c:overlay val="0"/>
      <c:spPr>
        <a:noFill/>
        <a:ln>
          <a:noFill/>
        </a:ln>
        <a:effectLst/>
      </c:spPr>
      <c:txPr>
        <a:bodyPr rot="0" spcFirstLastPara="1" vertOverflow="ellipsis" vert="horz" wrap="square" anchor="ctr" anchorCtr="1"/>
        <a:lstStyle/>
        <a:p>
          <a:pPr>
            <a:defRPr sz="1400" b="1" i="0" u="none" strike="noStrike" kern="1200" baseline="0">
              <a:solidFill>
                <a:sysClr val="windowText" lastClr="000000"/>
              </a:solidFill>
              <a:latin typeface="+mn-lt"/>
              <a:ea typeface="+mn-ea"/>
              <a:cs typeface="+mn-cs"/>
            </a:defRPr>
          </a:pPr>
          <a:endParaRPr lang="en-US"/>
        </a:p>
      </c:txPr>
    </c:legend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en-US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7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8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9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0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2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3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4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5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colors16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7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8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9.xml><?xml version="1.0" encoding="utf-8"?>
<cs:chartStyle xmlns:cs="http://schemas.microsoft.com/office/drawing/2012/chartStyle" xmlns:a="http://schemas.openxmlformats.org/drawingml/2006/main" id="29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0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1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2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3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4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5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harts/style16.xml><?xml version="1.0" encoding="utf-8"?>
<cs:chartStyle xmlns:cs="http://schemas.microsoft.com/office/drawing/2012/chartStyle" xmlns:a="http://schemas.openxmlformats.org/drawingml/2006/main" id="227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>
  <cs:dataPoint3D>
    <cs:lnRef idx="0"/>
    <cs:fillRef idx="1">
      <cs:styleClr val="auto"/>
    </cs:fillRef>
    <cs:effectRef idx="0"/>
    <cs:fontRef idx="minor">
      <a:schemeClr val="tx1"/>
    </cs:fontRef>
    <cs:spPr>
      <a:solidFill>
        <a:schemeClr val="phClr"/>
      </a:solidFill>
    </cs:spPr>
  </cs:dataPoint3D>
  <cs:dataPointLine>
    <cs:lnRef idx="0">
      <cs:styleClr val="auto"/>
    </cs:lnRef>
    <cs:fillRef idx="1"/>
    <cs:effectRef idx="0"/>
    <cs:fontRef idx="minor">
      <a:schemeClr val="tx1"/>
    </cs:fontRef>
    <cs:spPr>
      <a:ln w="28575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solidFill>
        <a:schemeClr val="phClr"/>
      </a:solidFill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1"/>
    <cs:effectRef idx="0"/>
    <cs:fontRef idx="minor">
      <a:schemeClr val="tx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dk1"/>
    </cs:fontRef>
    <cs:spPr>
      <a:solidFill>
        <a:schemeClr val="dk1">
          <a:lumMod val="65000"/>
          <a:lumOff val="35000"/>
        </a:schemeClr>
      </a:solidFill>
      <a:ln w="9525">
        <a:solidFill>
          <a:schemeClr val="tx1">
            <a:lumMod val="65000"/>
            <a:lumOff val="35000"/>
          </a:schemeClr>
        </a:solidFill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75000"/>
            <a:lumOff val="25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dk1"/>
    </cs:fontRef>
    <cs:spPr>
      <a:solidFill>
        <a:schemeClr val="lt1"/>
      </a:solidFill>
      <a:ln w="9525">
        <a:solidFill>
          <a:schemeClr val="tx1">
            <a:lumMod val="15000"/>
            <a:lumOff val="85000"/>
          </a:schemeClr>
        </a:solidFill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ctrlProps/ctrlProp1.xml><?xml version="1.0" encoding="utf-8"?>
<formControlPr xmlns="http://schemas.microsoft.com/office/spreadsheetml/2009/9/main" objectType="Spin" dx="22" fmlaLink="$F$4" max="3" min="1" page="10" val="3"/>
</file>

<file path=xl/drawings/_rels/drawing1.xml.rels><?xml version="1.0" encoding="UTF-8" standalone="yes"?>
<Relationships xmlns="http://schemas.openxmlformats.org/package/2006/relationships"><Relationship Id="rId8" Type="http://schemas.openxmlformats.org/officeDocument/2006/relationships/chart" Target="../charts/chart8.xml"/><Relationship Id="rId3" Type="http://schemas.openxmlformats.org/officeDocument/2006/relationships/chart" Target="../charts/chart3.xml"/><Relationship Id="rId7" Type="http://schemas.openxmlformats.org/officeDocument/2006/relationships/chart" Target="../charts/chart7.xml"/><Relationship Id="rId2" Type="http://schemas.openxmlformats.org/officeDocument/2006/relationships/chart" Target="../charts/chart2.xml"/><Relationship Id="rId1" Type="http://schemas.openxmlformats.org/officeDocument/2006/relationships/chart" Target="../charts/chart1.xml"/><Relationship Id="rId6" Type="http://schemas.openxmlformats.org/officeDocument/2006/relationships/chart" Target="../charts/chart6.xml"/><Relationship Id="rId5" Type="http://schemas.openxmlformats.org/officeDocument/2006/relationships/chart" Target="../charts/chart5.xml"/><Relationship Id="rId10" Type="http://schemas.openxmlformats.org/officeDocument/2006/relationships/chart" Target="../charts/chart10.xml"/><Relationship Id="rId4" Type="http://schemas.openxmlformats.org/officeDocument/2006/relationships/chart" Target="../charts/chart4.xml"/><Relationship Id="rId9" Type="http://schemas.openxmlformats.org/officeDocument/2006/relationships/chart" Target="../charts/chart9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chart" Target="../charts/chart12.xml"/><Relationship Id="rId7" Type="http://schemas.openxmlformats.org/officeDocument/2006/relationships/chart" Target="../charts/chart16.xml"/><Relationship Id="rId2" Type="http://schemas.openxmlformats.org/officeDocument/2006/relationships/chart" Target="../charts/chart11.xml"/><Relationship Id="rId1" Type="http://schemas.openxmlformats.org/officeDocument/2006/relationships/image" Target="../media/image3.png"/><Relationship Id="rId6" Type="http://schemas.openxmlformats.org/officeDocument/2006/relationships/chart" Target="../charts/chart15.xml"/><Relationship Id="rId5" Type="http://schemas.openxmlformats.org/officeDocument/2006/relationships/chart" Target="../charts/chart14.xml"/><Relationship Id="rId4" Type="http://schemas.openxmlformats.org/officeDocument/2006/relationships/chart" Target="../charts/chart13.xml"/></Relationships>
</file>

<file path=xl/drawings/_rels/vmlDrawing1.vml.rels><?xml version="1.0" encoding="UTF-8" standalone="yes"?>
<Relationships xmlns="http://schemas.openxmlformats.org/package/2006/relationships"><Relationship Id="rId2" Type="http://schemas.openxmlformats.org/officeDocument/2006/relationships/image" Target="../media/image1.emf"/><Relationship Id="rId1" Type="http://schemas.openxmlformats.org/officeDocument/2006/relationships/image" Target="../media/image2.emf"/></Relationships>
</file>

<file path=xl/drawings/_rels/vmlDrawing4.vml.rels><?xml version="1.0" encoding="UTF-8" standalone="yes"?>
<Relationships xmlns="http://schemas.openxmlformats.org/package/2006/relationships"><Relationship Id="rId3" Type="http://schemas.openxmlformats.org/officeDocument/2006/relationships/image" Target="../media/image4.emf"/><Relationship Id="rId2" Type="http://schemas.openxmlformats.org/officeDocument/2006/relationships/image" Target="../media/image6.emf"/><Relationship Id="rId1" Type="http://schemas.openxmlformats.org/officeDocument/2006/relationships/image" Target="../media/image5.emf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0</xdr:colOff>
      <xdr:row>30</xdr:row>
      <xdr:rowOff>0</xdr:rowOff>
    </xdr:from>
    <xdr:to>
      <xdr:col>10</xdr:col>
      <xdr:colOff>356436</xdr:colOff>
      <xdr:row>53</xdr:row>
      <xdr:rowOff>57150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000-000006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>
    <xdr:from>
      <xdr:col>11</xdr:col>
      <xdr:colOff>0</xdr:colOff>
      <xdr:row>29</xdr:row>
      <xdr:rowOff>180975</xdr:rowOff>
    </xdr:from>
    <xdr:to>
      <xdr:col>22</xdr:col>
      <xdr:colOff>423111</xdr:colOff>
      <xdr:row>53</xdr:row>
      <xdr:rowOff>47625</xdr:rowOff>
    </xdr:to>
    <xdr:graphicFrame macro="">
      <xdr:nvGraphicFramePr>
        <xdr:cNvPr id="7" name="Grafiek 6">
          <a:extLst>
            <a:ext uri="{FF2B5EF4-FFF2-40B4-BE49-F238E27FC236}">
              <a16:creationId xmlns:a16="http://schemas.microsoft.com/office/drawing/2014/main" id="{00000000-0008-0000-0000-000007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0</xdr:col>
      <xdr:colOff>441161</xdr:colOff>
      <xdr:row>82</xdr:row>
      <xdr:rowOff>0</xdr:rowOff>
    </xdr:from>
    <xdr:to>
      <xdr:col>7</xdr:col>
      <xdr:colOff>153403</xdr:colOff>
      <xdr:row>105</xdr:row>
      <xdr:rowOff>57150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0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10</xdr:col>
      <xdr:colOff>446171</xdr:colOff>
      <xdr:row>81</xdr:row>
      <xdr:rowOff>171951</xdr:rowOff>
    </xdr:from>
    <xdr:to>
      <xdr:col>17</xdr:col>
      <xdr:colOff>65171</xdr:colOff>
      <xdr:row>105</xdr:row>
      <xdr:rowOff>86226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0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23</xdr:col>
      <xdr:colOff>495300</xdr:colOff>
      <xdr:row>0</xdr:row>
      <xdr:rowOff>119062</xdr:rowOff>
    </xdr:from>
    <xdr:to>
      <xdr:col>29</xdr:col>
      <xdr:colOff>590550</xdr:colOff>
      <xdr:row>20</xdr:row>
      <xdr:rowOff>90487</xdr:rowOff>
    </xdr:to>
    <xdr:graphicFrame macro="">
      <xdr:nvGraphicFramePr>
        <xdr:cNvPr id="2" name="Grafiek 1">
          <a:extLst>
            <a:ext uri="{FF2B5EF4-FFF2-40B4-BE49-F238E27FC236}">
              <a16:creationId xmlns:a16="http://schemas.microsoft.com/office/drawing/2014/main" id="{00000000-0008-0000-0000-000002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30</xdr:col>
      <xdr:colOff>95250</xdr:colOff>
      <xdr:row>0</xdr:row>
      <xdr:rowOff>128587</xdr:rowOff>
    </xdr:from>
    <xdr:to>
      <xdr:col>37</xdr:col>
      <xdr:colOff>400050</xdr:colOff>
      <xdr:row>20</xdr:row>
      <xdr:rowOff>57150</xdr:rowOff>
    </xdr:to>
    <xdr:graphicFrame macro="">
      <xdr:nvGraphicFramePr>
        <xdr:cNvPr id="3" name="Grafiek 2">
          <a:extLst>
            <a:ext uri="{FF2B5EF4-FFF2-40B4-BE49-F238E27FC236}">
              <a16:creationId xmlns:a16="http://schemas.microsoft.com/office/drawing/2014/main" id="{00000000-0008-0000-0000-000003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0</xdr:col>
      <xdr:colOff>590551</xdr:colOff>
      <xdr:row>54</xdr:row>
      <xdr:rowOff>99260</xdr:rowOff>
    </xdr:from>
    <xdr:to>
      <xdr:col>11</xdr:col>
      <xdr:colOff>228600</xdr:colOff>
      <xdr:row>76</xdr:row>
      <xdr:rowOff>157414</xdr:rowOff>
    </xdr:to>
    <xdr:grpSp>
      <xdr:nvGrpSpPr>
        <xdr:cNvPr id="15" name="Groep 14">
          <a:extLst>
            <a:ext uri="{FF2B5EF4-FFF2-40B4-BE49-F238E27FC236}">
              <a16:creationId xmlns:a16="http://schemas.microsoft.com/office/drawing/2014/main" id="{00000000-0008-0000-0000-00000F000000}"/>
            </a:ext>
          </a:extLst>
        </xdr:cNvPr>
        <xdr:cNvGrpSpPr/>
      </xdr:nvGrpSpPr>
      <xdr:grpSpPr>
        <a:xfrm>
          <a:off x="590551" y="9960142"/>
          <a:ext cx="9574128" cy="4028575"/>
          <a:chOff x="609600" y="13868400"/>
          <a:chExt cx="6896099" cy="4249154"/>
        </a:xfrm>
      </xdr:grpSpPr>
      <xdr:graphicFrame macro="">
        <xdr:nvGraphicFramePr>
          <xdr:cNvPr id="9" name="Grafiek 8">
            <a:extLst>
              <a:ext uri="{FF2B5EF4-FFF2-40B4-BE49-F238E27FC236}">
                <a16:creationId xmlns:a16="http://schemas.microsoft.com/office/drawing/2014/main" id="{00000000-0008-0000-0000-000009000000}"/>
              </a:ext>
            </a:extLst>
          </xdr:cNvPr>
          <xdr:cNvGraphicFramePr>
            <a:graphicFrameLocks/>
          </xdr:cNvGraphicFramePr>
        </xdr:nvGraphicFramePr>
        <xdr:xfrm>
          <a:off x="609600" y="13868400"/>
          <a:ext cx="6896099" cy="4249154"/>
        </xdr:xfrm>
        <a:graphic>
          <a:graphicData uri="http://schemas.openxmlformats.org/drawingml/2006/chart">
            <c:chart xmlns:c="http://schemas.openxmlformats.org/drawingml/2006/chart" xmlns:r="http://schemas.openxmlformats.org/officeDocument/2006/relationships" r:id="rId7"/>
          </a:graphicData>
        </a:graphic>
      </xdr:graphicFrame>
      <xdr:cxnSp macro="">
        <xdr:nvCxnSpPr>
          <xdr:cNvPr id="5" name="Rechte verbindingslijn 4">
            <a:extLst>
              <a:ext uri="{FF2B5EF4-FFF2-40B4-BE49-F238E27FC236}">
                <a16:creationId xmlns:a16="http://schemas.microsoft.com/office/drawing/2014/main" id="{00000000-0008-0000-0000-000005000000}"/>
              </a:ext>
            </a:extLst>
          </xdr:cNvPr>
          <xdr:cNvCxnSpPr/>
        </xdr:nvCxnSpPr>
        <xdr:spPr>
          <a:xfrm flipH="1">
            <a:off x="4299886" y="15811500"/>
            <a:ext cx="9526" cy="106680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  <xdr:cxnSp macro="">
        <xdr:nvCxnSpPr>
          <xdr:cNvPr id="13" name="Rechte verbindingslijn 12">
            <a:extLst>
              <a:ext uri="{FF2B5EF4-FFF2-40B4-BE49-F238E27FC236}">
                <a16:creationId xmlns:a16="http://schemas.microsoft.com/office/drawing/2014/main" id="{00000000-0008-0000-0000-00000D000000}"/>
              </a:ext>
            </a:extLst>
          </xdr:cNvPr>
          <xdr:cNvCxnSpPr/>
        </xdr:nvCxnSpPr>
        <xdr:spPr>
          <a:xfrm flipH="1">
            <a:off x="4827181" y="15211425"/>
            <a:ext cx="9526" cy="1638300"/>
          </a:xfrm>
          <a:prstGeom prst="line">
            <a:avLst/>
          </a:prstGeom>
          <a:ln w="12700">
            <a:solidFill>
              <a:schemeClr val="tx1"/>
            </a:solidFill>
            <a:prstDash val="dash"/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</xdr:cxnSp>
    </xdr:grpSp>
    <xdr:clientData/>
  </xdr:twoCellAnchor>
  <xdr:twoCellAnchor>
    <xdr:from>
      <xdr:col>0</xdr:col>
      <xdr:colOff>601579</xdr:colOff>
      <xdr:row>118</xdr:row>
      <xdr:rowOff>23806</xdr:rowOff>
    </xdr:from>
    <xdr:to>
      <xdr:col>7</xdr:col>
      <xdr:colOff>504324</xdr:colOff>
      <xdr:row>146</xdr:row>
      <xdr:rowOff>89233</xdr:rowOff>
    </xdr:to>
    <xdr:grpSp>
      <xdr:nvGrpSpPr>
        <xdr:cNvPr id="16" name="Groep 15">
          <a:extLst>
            <a:ext uri="{FF2B5EF4-FFF2-40B4-BE49-F238E27FC236}">
              <a16:creationId xmlns:a16="http://schemas.microsoft.com/office/drawing/2014/main" id="{00000000-0008-0000-0000-000010000000}"/>
            </a:ext>
          </a:extLst>
        </xdr:cNvPr>
        <xdr:cNvGrpSpPr/>
      </xdr:nvGrpSpPr>
      <xdr:grpSpPr>
        <a:xfrm>
          <a:off x="601579" y="21575372"/>
          <a:ext cx="6645443" cy="5138743"/>
          <a:chOff x="9713125" y="40628882"/>
          <a:chExt cx="5879299" cy="3915884"/>
        </a:xfrm>
      </xdr:grpSpPr>
      <xdr:grpSp>
        <xdr:nvGrpSpPr>
          <xdr:cNvPr id="17" name="Groep 16">
            <a:extLst>
              <a:ext uri="{FF2B5EF4-FFF2-40B4-BE49-F238E27FC236}">
                <a16:creationId xmlns:a16="http://schemas.microsoft.com/office/drawing/2014/main" id="{00000000-0008-0000-0000-000011000000}"/>
              </a:ext>
            </a:extLst>
          </xdr:cNvPr>
          <xdr:cNvGrpSpPr/>
        </xdr:nvGrpSpPr>
        <xdr:grpSpPr>
          <a:xfrm>
            <a:off x="9713125" y="40628882"/>
            <a:ext cx="5879299" cy="3915884"/>
            <a:chOff x="9713125" y="40628887"/>
            <a:chExt cx="5879299" cy="3632701"/>
          </a:xfrm>
        </xdr:grpSpPr>
        <xdr:graphicFrame macro="">
          <xdr:nvGraphicFramePr>
            <xdr:cNvPr id="21" name="Grafiek 20">
              <a:extLst>
                <a:ext uri="{FF2B5EF4-FFF2-40B4-BE49-F238E27FC236}">
                  <a16:creationId xmlns:a16="http://schemas.microsoft.com/office/drawing/2014/main" id="{00000000-0008-0000-0000-000015000000}"/>
                </a:ext>
              </a:extLst>
            </xdr:cNvPr>
            <xdr:cNvGraphicFramePr/>
          </xdr:nvGraphicFramePr>
          <xdr:xfrm>
            <a:off x="9713125" y="40628887"/>
            <a:ext cx="5879299" cy="3632701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8"/>
            </a:graphicData>
          </a:graphic>
        </xdr:graphicFrame>
        <xdr:sp macro="" textlink="">
          <xdr:nvSpPr>
            <xdr:cNvPr id="22" name="Tekstvak 21">
              <a:extLst>
                <a:ext uri="{FF2B5EF4-FFF2-40B4-BE49-F238E27FC236}">
                  <a16:creationId xmlns:a16="http://schemas.microsoft.com/office/drawing/2014/main" id="{00000000-0008-0000-0000-000016000000}"/>
                </a:ext>
              </a:extLst>
            </xdr:cNvPr>
            <xdr:cNvSpPr txBox="1"/>
          </xdr:nvSpPr>
          <xdr:spPr>
            <a:xfrm>
              <a:off x="11104665" y="40887141"/>
              <a:ext cx="1642262" cy="228924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nl-NL" sz="1600" b="1">
                  <a:solidFill>
                    <a:sysClr val="windowText" lastClr="000000"/>
                  </a:solidFill>
                </a:rPr>
                <a:t>Fixed bottom</a:t>
              </a:r>
            </a:p>
          </xdr:txBody>
        </xdr:sp>
      </xdr:grpSp>
      <xdr:sp macro="" textlink="">
        <xdr:nvSpPr>
          <xdr:cNvPr id="18" name="Tekstvak 17">
            <a:extLst>
              <a:ext uri="{FF2B5EF4-FFF2-40B4-BE49-F238E27FC236}">
                <a16:creationId xmlns:a16="http://schemas.microsoft.com/office/drawing/2014/main" id="{00000000-0008-0000-0000-000012000000}"/>
              </a:ext>
            </a:extLst>
          </xdr:cNvPr>
          <xdr:cNvSpPr txBox="1"/>
        </xdr:nvSpPr>
        <xdr:spPr>
          <a:xfrm>
            <a:off x="13822427" y="40897579"/>
            <a:ext cx="1484573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nl-NL" sz="1600" b="1">
                <a:solidFill>
                  <a:sysClr val="windowText" lastClr="000000"/>
                </a:solidFill>
              </a:rPr>
              <a:t>Floating</a:t>
            </a:r>
          </a:p>
        </xdr:txBody>
      </xdr:sp>
      <xdr:sp macro="" textlink="">
        <xdr:nvSpPr>
          <xdr:cNvPr id="19" name="Rechteraccolade 18">
            <a:extLst>
              <a:ext uri="{FF2B5EF4-FFF2-40B4-BE49-F238E27FC236}">
                <a16:creationId xmlns:a16="http://schemas.microsoft.com/office/drawing/2014/main" id="{00000000-0008-0000-0000-000013000000}"/>
              </a:ext>
            </a:extLst>
          </xdr:cNvPr>
          <xdr:cNvSpPr/>
        </xdr:nvSpPr>
        <xdr:spPr>
          <a:xfrm rot="16200000">
            <a:off x="14094126" y="40261012"/>
            <a:ext cx="200024" cy="1881183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20" name="Rechteraccolade 19">
            <a:extLst>
              <a:ext uri="{FF2B5EF4-FFF2-40B4-BE49-F238E27FC236}">
                <a16:creationId xmlns:a16="http://schemas.microsoft.com/office/drawing/2014/main" id="{00000000-0008-0000-0000-000014000000}"/>
              </a:ext>
            </a:extLst>
          </xdr:cNvPr>
          <xdr:cNvSpPr/>
        </xdr:nvSpPr>
        <xdr:spPr>
          <a:xfrm rot="16200000">
            <a:off x="11608600" y="40260223"/>
            <a:ext cx="200024" cy="1881183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</xdr:grpSp>
    <xdr:clientData/>
  </xdr:twoCellAnchor>
  <xdr:twoCellAnchor>
    <xdr:from>
      <xdr:col>9</xdr:col>
      <xdr:colOff>12032</xdr:colOff>
      <xdr:row>118</xdr:row>
      <xdr:rowOff>14038</xdr:rowOff>
    </xdr:from>
    <xdr:to>
      <xdr:col>15</xdr:col>
      <xdr:colOff>561975</xdr:colOff>
      <xdr:row>146</xdr:row>
      <xdr:rowOff>97756</xdr:rowOff>
    </xdr:to>
    <xdr:grpSp>
      <xdr:nvGrpSpPr>
        <xdr:cNvPr id="23" name="Groep 22">
          <a:extLst>
            <a:ext uri="{FF2B5EF4-FFF2-40B4-BE49-F238E27FC236}">
              <a16:creationId xmlns:a16="http://schemas.microsoft.com/office/drawing/2014/main" id="{00000000-0008-0000-0000-000017000000}"/>
            </a:ext>
          </a:extLst>
        </xdr:cNvPr>
        <xdr:cNvGrpSpPr/>
      </xdr:nvGrpSpPr>
      <xdr:grpSpPr>
        <a:xfrm>
          <a:off x="7932821" y="21565604"/>
          <a:ext cx="6024312" cy="5157034"/>
          <a:chOff x="9775410" y="40636085"/>
          <a:chExt cx="5934075" cy="4149407"/>
        </a:xfrm>
      </xdr:grpSpPr>
      <xdr:grpSp>
        <xdr:nvGrpSpPr>
          <xdr:cNvPr id="24" name="Groep 23">
            <a:extLst>
              <a:ext uri="{FF2B5EF4-FFF2-40B4-BE49-F238E27FC236}">
                <a16:creationId xmlns:a16="http://schemas.microsoft.com/office/drawing/2014/main" id="{00000000-0008-0000-0000-000018000000}"/>
              </a:ext>
            </a:extLst>
          </xdr:cNvPr>
          <xdr:cNvGrpSpPr/>
        </xdr:nvGrpSpPr>
        <xdr:grpSpPr>
          <a:xfrm>
            <a:off x="9775410" y="40636085"/>
            <a:ext cx="5934075" cy="4149407"/>
            <a:chOff x="9775410" y="40635564"/>
            <a:chExt cx="5934075" cy="3849336"/>
          </a:xfrm>
        </xdr:grpSpPr>
        <xdr:graphicFrame macro="">
          <xdr:nvGraphicFramePr>
            <xdr:cNvPr id="28" name="Grafiek 27">
              <a:extLst>
                <a:ext uri="{FF2B5EF4-FFF2-40B4-BE49-F238E27FC236}">
                  <a16:creationId xmlns:a16="http://schemas.microsoft.com/office/drawing/2014/main" id="{00000000-0008-0000-0000-00001C000000}"/>
                </a:ext>
              </a:extLst>
            </xdr:cNvPr>
            <xdr:cNvGraphicFramePr/>
          </xdr:nvGraphicFramePr>
          <xdr:xfrm>
            <a:off x="9775410" y="40635564"/>
            <a:ext cx="5934075" cy="3849336"/>
          </xdr:xfrm>
          <a:graphic>
            <a:graphicData uri="http://schemas.openxmlformats.org/drawingml/2006/chart">
              <c:chart xmlns:c="http://schemas.openxmlformats.org/drawingml/2006/chart" xmlns:r="http://schemas.openxmlformats.org/officeDocument/2006/relationships" r:id="rId9"/>
            </a:graphicData>
          </a:graphic>
        </xdr:graphicFrame>
        <xdr:sp macro="" textlink="">
          <xdr:nvSpPr>
            <xdr:cNvPr id="29" name="Tekstvak 28">
              <a:extLst>
                <a:ext uri="{FF2B5EF4-FFF2-40B4-BE49-F238E27FC236}">
                  <a16:creationId xmlns:a16="http://schemas.microsoft.com/office/drawing/2014/main" id="{00000000-0008-0000-0000-00001D000000}"/>
                </a:ext>
              </a:extLst>
            </xdr:cNvPr>
            <xdr:cNvSpPr txBox="1"/>
          </xdr:nvSpPr>
          <xdr:spPr>
            <a:xfrm>
              <a:off x="11117419" y="40879637"/>
              <a:ext cx="1400175" cy="342786"/>
            </a:xfrm>
            <a:prstGeom prst="rect">
              <a:avLst/>
            </a:prstGeom>
            <a:noFill/>
          </xdr:spPr>
          <xdr:style>
            <a:lnRef idx="0">
              <a:scrgbClr r="0" g="0" b="0"/>
            </a:lnRef>
            <a:fillRef idx="0">
              <a:scrgbClr r="0" g="0" b="0"/>
            </a:fillRef>
            <a:effectRef idx="0">
              <a:scrgbClr r="0" g="0" b="0"/>
            </a:effectRef>
            <a:fontRef idx="minor">
              <a:schemeClr val="tx1"/>
            </a:fontRef>
          </xdr:style>
          <xdr:txBody>
            <a:bodyPr vertOverflow="clip" horzOverflow="clip" wrap="square" rtlCol="0" anchor="t">
              <a:spAutoFit/>
            </a:bodyPr>
            <a:lstStyle/>
            <a:p>
              <a:r>
                <a:rPr lang="nl-NL" sz="1600" b="1">
                  <a:solidFill>
                    <a:sysClr val="windowText" lastClr="000000"/>
                  </a:solidFill>
                </a:rPr>
                <a:t>Fixed bottom</a:t>
              </a:r>
            </a:p>
          </xdr:txBody>
        </xdr:sp>
      </xdr:grpSp>
      <xdr:sp macro="" textlink="">
        <xdr:nvSpPr>
          <xdr:cNvPr id="25" name="Tekstvak 24">
            <a:extLst>
              <a:ext uri="{FF2B5EF4-FFF2-40B4-BE49-F238E27FC236}">
                <a16:creationId xmlns:a16="http://schemas.microsoft.com/office/drawing/2014/main" id="{00000000-0008-0000-0000-000019000000}"/>
              </a:ext>
            </a:extLst>
          </xdr:cNvPr>
          <xdr:cNvSpPr txBox="1"/>
        </xdr:nvSpPr>
        <xdr:spPr>
          <a:xfrm>
            <a:off x="13942912" y="40889941"/>
            <a:ext cx="951642" cy="342786"/>
          </a:xfrm>
          <a:prstGeom prst="rect">
            <a:avLst/>
          </a:prstGeom>
          <a:noFill/>
        </xdr:spPr>
        <xdr:style>
          <a:lnRef idx="0">
            <a:scrgbClr r="0" g="0" b="0"/>
          </a:lnRef>
          <a:fillRef idx="0">
            <a:scrgbClr r="0" g="0" b="0"/>
          </a:fillRef>
          <a:effectRef idx="0">
            <a:scrgbClr r="0" g="0" b="0"/>
          </a:effectRef>
          <a:fontRef idx="minor">
            <a:schemeClr val="tx1"/>
          </a:fontRef>
        </xdr:style>
        <xdr:txBody>
          <a:bodyPr vertOverflow="clip" horzOverflow="clip" wrap="square" rtlCol="0" anchor="t">
            <a:noAutofit/>
          </a:bodyPr>
          <a:lstStyle/>
          <a:p>
            <a:r>
              <a:rPr lang="nl-NL" sz="1600" b="1">
                <a:solidFill>
                  <a:sysClr val="windowText" lastClr="000000"/>
                </a:solidFill>
              </a:rPr>
              <a:t>Floating</a:t>
            </a:r>
          </a:p>
        </xdr:txBody>
      </xdr:sp>
      <xdr:sp macro="" textlink="">
        <xdr:nvSpPr>
          <xdr:cNvPr id="26" name="Rechteraccolade 25">
            <a:extLst>
              <a:ext uri="{FF2B5EF4-FFF2-40B4-BE49-F238E27FC236}">
                <a16:creationId xmlns:a16="http://schemas.microsoft.com/office/drawing/2014/main" id="{00000000-0008-0000-0000-00001A000000}"/>
              </a:ext>
            </a:extLst>
          </xdr:cNvPr>
          <xdr:cNvSpPr/>
        </xdr:nvSpPr>
        <xdr:spPr>
          <a:xfrm rot="16200000">
            <a:off x="14223695" y="40252489"/>
            <a:ext cx="200024" cy="1881184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  <xdr:sp macro="" textlink="">
        <xdr:nvSpPr>
          <xdr:cNvPr id="27" name="Rechteraccolade 26">
            <a:extLst>
              <a:ext uri="{FF2B5EF4-FFF2-40B4-BE49-F238E27FC236}">
                <a16:creationId xmlns:a16="http://schemas.microsoft.com/office/drawing/2014/main" id="{00000000-0008-0000-0000-00001B000000}"/>
              </a:ext>
            </a:extLst>
          </xdr:cNvPr>
          <xdr:cNvSpPr/>
        </xdr:nvSpPr>
        <xdr:spPr>
          <a:xfrm rot="16200000">
            <a:off x="11608596" y="40252489"/>
            <a:ext cx="200024" cy="1881184"/>
          </a:xfrm>
          <a:prstGeom prst="rightBrace">
            <a:avLst/>
          </a:prstGeom>
          <a:ln w="25400">
            <a:solidFill>
              <a:schemeClr val="tx1"/>
            </a:solidFill>
          </a:ln>
        </xdr:spPr>
        <xdr:style>
          <a:lnRef idx="1">
            <a:schemeClr val="accent1"/>
          </a:lnRef>
          <a:fillRef idx="0">
            <a:schemeClr val="accent1"/>
          </a:fillRef>
          <a:effectRef idx="0">
            <a:schemeClr val="accent1"/>
          </a:effectRef>
          <a:fontRef idx="minor">
            <a:schemeClr val="tx1"/>
          </a:fontRef>
        </xdr:style>
        <xdr:txBody>
          <a:bodyPr vertOverflow="clip" horzOverflow="clip" rtlCol="0" anchor="t"/>
          <a:lstStyle/>
          <a:p>
            <a:pPr algn="l"/>
            <a:endParaRPr lang="nl-NL" sz="1100"/>
          </a:p>
        </xdr:txBody>
      </xdr:sp>
    </xdr:grpSp>
    <xdr:clientData/>
  </xdr:twoCellAnchor>
  <xdr:twoCellAnchor>
    <xdr:from>
      <xdr:col>24</xdr:col>
      <xdr:colOff>0</xdr:colOff>
      <xdr:row>30</xdr:row>
      <xdr:rowOff>0</xdr:rowOff>
    </xdr:from>
    <xdr:to>
      <xdr:col>37</xdr:col>
      <xdr:colOff>4011</xdr:colOff>
      <xdr:row>53</xdr:row>
      <xdr:rowOff>57150</xdr:rowOff>
    </xdr:to>
    <xdr:graphicFrame macro="">
      <xdr:nvGraphicFramePr>
        <xdr:cNvPr id="30" name="Grafiek 29">
          <a:extLst>
            <a:ext uri="{FF2B5EF4-FFF2-40B4-BE49-F238E27FC236}">
              <a16:creationId xmlns:a16="http://schemas.microsoft.com/office/drawing/2014/main" id="{00000000-0008-0000-0000-00001E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0"/>
        </a:graphicData>
      </a:graphic>
    </xdr:graphicFrame>
    <xdr:clientData/>
  </xdr:twoCellAnchor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628650</xdr:colOff>
          <xdr:row>26</xdr:row>
          <xdr:rowOff>0</xdr:rowOff>
        </xdr:from>
        <xdr:to>
          <xdr:col>6</xdr:col>
          <xdr:colOff>490538</xdr:colOff>
          <xdr:row>28</xdr:row>
          <xdr:rowOff>42863</xdr:rowOff>
        </xdr:to>
        <xdr:sp macro="" textlink="">
          <xdr:nvSpPr>
            <xdr:cNvPr id="1025" name="CommandButton1" hidden="1">
              <a:extLst>
                <a:ext uri="{63B3BB69-23CF-44E3-9099-C40C66FF867C}">
                  <a14:compatExt spid="_x0000_s1025"/>
                </a:ext>
                <a:ext uri="{FF2B5EF4-FFF2-40B4-BE49-F238E27FC236}">
                  <a16:creationId xmlns:a16="http://schemas.microsoft.com/office/drawing/2014/main" id="{00000000-0008-0000-0000-000001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5</xdr:col>
          <xdr:colOff>1200150</xdr:colOff>
          <xdr:row>79</xdr:row>
          <xdr:rowOff>0</xdr:rowOff>
        </xdr:from>
        <xdr:to>
          <xdr:col>8</xdr:col>
          <xdr:colOff>57150</xdr:colOff>
          <xdr:row>81</xdr:row>
          <xdr:rowOff>28575</xdr:rowOff>
        </xdr:to>
        <xdr:sp macro="" textlink="">
          <xdr:nvSpPr>
            <xdr:cNvPr id="1027" name="CommandButton2" hidden="1">
              <a:extLst>
                <a:ext uri="{63B3BB69-23CF-44E3-9099-C40C66FF867C}">
                  <a14:compatExt spid="_x0000_s1027"/>
                </a:ext>
                <a:ext uri="{FF2B5EF4-FFF2-40B4-BE49-F238E27FC236}">
                  <a16:creationId xmlns:a16="http://schemas.microsoft.com/office/drawing/2014/main" id="{00000000-0008-0000-0000-00000304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9</xdr:col>
      <xdr:colOff>571500</xdr:colOff>
      <xdr:row>40</xdr:row>
      <xdr:rowOff>38100</xdr:rowOff>
    </xdr:from>
    <xdr:to>
      <xdr:col>19</xdr:col>
      <xdr:colOff>0</xdr:colOff>
      <xdr:row>53</xdr:row>
      <xdr:rowOff>133350</xdr:rowOff>
    </xdr:to>
    <xdr:pic>
      <xdr:nvPicPr>
        <xdr:cNvPr id="2" name="Afbeelding 1">
          <a:extLst>
            <a:ext uri="{FF2B5EF4-FFF2-40B4-BE49-F238E27FC236}">
              <a16:creationId xmlns:a16="http://schemas.microsoft.com/office/drawing/2014/main" id="{00000000-0008-0000-0200-000002000000}"/>
            </a:ext>
          </a:extLst>
        </xdr:cNvPr>
        <xdr:cNvPicPr/>
      </xdr:nvPicPr>
      <xdr:blipFill rotWithShape="1">
        <a:blip xmlns:r="http://schemas.openxmlformats.org/officeDocument/2006/relationships" r:embed="rId1"/>
        <a:srcRect l="42446" t="31052" r="20645" b="41040"/>
        <a:stretch/>
      </xdr:blipFill>
      <xdr:spPr>
        <a:xfrm>
          <a:off x="7324725" y="1400175"/>
          <a:ext cx="6172200" cy="3076575"/>
        </a:xfrm>
        <a:prstGeom prst="rect">
          <a:avLst/>
        </a:prstGeom>
      </xdr:spPr>
    </xdr:pic>
    <xdr:clientData/>
  </xdr:twoCellAnchor>
  <xdr:twoCellAnchor>
    <xdr:from>
      <xdr:col>1</xdr:col>
      <xdr:colOff>95250</xdr:colOff>
      <xdr:row>1</xdr:row>
      <xdr:rowOff>19050</xdr:rowOff>
    </xdr:from>
    <xdr:to>
      <xdr:col>8</xdr:col>
      <xdr:colOff>533400</xdr:colOff>
      <xdr:row>21</xdr:row>
      <xdr:rowOff>176212</xdr:rowOff>
    </xdr:to>
    <xdr:graphicFrame macro="">
      <xdr:nvGraphicFramePr>
        <xdr:cNvPr id="4" name="Grafiek 3">
          <a:extLst>
            <a:ext uri="{FF2B5EF4-FFF2-40B4-BE49-F238E27FC236}">
              <a16:creationId xmlns:a16="http://schemas.microsoft.com/office/drawing/2014/main" id="{00000000-0008-0000-0200-000004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2"/>
        </a:graphicData>
      </a:graphic>
    </xdr:graphicFrame>
    <xdr:clientData/>
  </xdr:twoCellAnchor>
  <xdr:twoCellAnchor>
    <xdr:from>
      <xdr:col>1</xdr:col>
      <xdr:colOff>66675</xdr:colOff>
      <xdr:row>22</xdr:row>
      <xdr:rowOff>138112</xdr:rowOff>
    </xdr:from>
    <xdr:to>
      <xdr:col>7</xdr:col>
      <xdr:colOff>381000</xdr:colOff>
      <xdr:row>37</xdr:row>
      <xdr:rowOff>23812</xdr:rowOff>
    </xdr:to>
    <xdr:graphicFrame macro="">
      <xdr:nvGraphicFramePr>
        <xdr:cNvPr id="5" name="Grafiek 4">
          <a:extLst>
            <a:ext uri="{FF2B5EF4-FFF2-40B4-BE49-F238E27FC236}">
              <a16:creationId xmlns:a16="http://schemas.microsoft.com/office/drawing/2014/main" id="{00000000-0008-0000-0200-000005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3"/>
        </a:graphicData>
      </a:graphic>
    </xdr:graphicFrame>
    <xdr:clientData/>
  </xdr:twoCellAnchor>
  <xdr:twoCellAnchor>
    <xdr:from>
      <xdr:col>9</xdr:col>
      <xdr:colOff>23810</xdr:colOff>
      <xdr:row>1</xdr:row>
      <xdr:rowOff>4761</xdr:rowOff>
    </xdr:from>
    <xdr:to>
      <xdr:col>19</xdr:col>
      <xdr:colOff>590549</xdr:colOff>
      <xdr:row>21</xdr:row>
      <xdr:rowOff>152400</xdr:rowOff>
    </xdr:to>
    <xdr:graphicFrame macro="">
      <xdr:nvGraphicFramePr>
        <xdr:cNvPr id="6" name="Grafiek 5">
          <a:extLst>
            <a:ext uri="{FF2B5EF4-FFF2-40B4-BE49-F238E27FC236}">
              <a16:creationId xmlns:a16="http://schemas.microsoft.com/office/drawing/2014/main" id="{00000000-0008-0000-0200-000006000000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4"/>
        </a:graphicData>
      </a:graphic>
    </xdr:graphicFrame>
    <xdr:clientData/>
  </xdr:twoCellAnchor>
  <xdr:twoCellAnchor>
    <xdr:from>
      <xdr:col>9</xdr:col>
      <xdr:colOff>142874</xdr:colOff>
      <xdr:row>22</xdr:row>
      <xdr:rowOff>123825</xdr:rowOff>
    </xdr:from>
    <xdr:to>
      <xdr:col>19</xdr:col>
      <xdr:colOff>28575</xdr:colOff>
      <xdr:row>37</xdr:row>
      <xdr:rowOff>9525</xdr:rowOff>
    </xdr:to>
    <xdr:graphicFrame macro="">
      <xdr:nvGraphicFramePr>
        <xdr:cNvPr id="8" name="Grafiek 7">
          <a:extLst>
            <a:ext uri="{FF2B5EF4-FFF2-40B4-BE49-F238E27FC236}">
              <a16:creationId xmlns:a16="http://schemas.microsoft.com/office/drawing/2014/main" id="{00000000-0008-0000-0200-000008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5"/>
        </a:graphicData>
      </a:graphic>
    </xdr:graphicFrame>
    <xdr:clientData/>
  </xdr:twoCellAnchor>
  <xdr:twoCellAnchor>
    <xdr:from>
      <xdr:col>21</xdr:col>
      <xdr:colOff>257174</xdr:colOff>
      <xdr:row>0</xdr:row>
      <xdr:rowOff>152400</xdr:rowOff>
    </xdr:from>
    <xdr:to>
      <xdr:col>31</xdr:col>
      <xdr:colOff>772027</xdr:colOff>
      <xdr:row>21</xdr:row>
      <xdr:rowOff>57150</xdr:rowOff>
    </xdr:to>
    <xdr:graphicFrame macro="">
      <xdr:nvGraphicFramePr>
        <xdr:cNvPr id="11" name="Grafiek 10">
          <a:extLst>
            <a:ext uri="{FF2B5EF4-FFF2-40B4-BE49-F238E27FC236}">
              <a16:creationId xmlns:a16="http://schemas.microsoft.com/office/drawing/2014/main" id="{00000000-0008-0000-0200-00000B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6"/>
        </a:graphicData>
      </a:graphic>
    </xdr:graphicFrame>
    <xdr:clientData/>
  </xdr:twoCellAnchor>
  <xdr:twoCellAnchor>
    <xdr:from>
      <xdr:col>21</xdr:col>
      <xdr:colOff>641686</xdr:colOff>
      <xdr:row>22</xdr:row>
      <xdr:rowOff>75197</xdr:rowOff>
    </xdr:from>
    <xdr:to>
      <xdr:col>31</xdr:col>
      <xdr:colOff>250658</xdr:colOff>
      <xdr:row>36</xdr:row>
      <xdr:rowOff>94248</xdr:rowOff>
    </xdr:to>
    <xdr:graphicFrame macro="">
      <xdr:nvGraphicFramePr>
        <xdr:cNvPr id="9" name="Grafiek 8">
          <a:extLst>
            <a:ext uri="{FF2B5EF4-FFF2-40B4-BE49-F238E27FC236}">
              <a16:creationId xmlns:a16="http://schemas.microsoft.com/office/drawing/2014/main" id="{00000000-0008-0000-0200-000009000000}"/>
            </a:ext>
          </a:extLst>
        </xdr:cNvPr>
        <xdr:cNvGraphicFramePr>
          <a:graphicFrameLocks/>
        </xdr:cNvGraphicFramePr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7"/>
        </a:graphicData>
      </a:graphic>
    </xdr:graphicFrame>
    <xdr:clientData/>
  </xdr:twoCellAnchor>
</xdr:wsDr>
</file>

<file path=xl/drawings/drawing3.xml><?xml version="1.0" encoding="utf-8"?>
<xdr:wsDr xmlns:xdr="http://schemas.openxmlformats.org/drawingml/2006/spreadsheetDrawing" xmlns:a="http://schemas.openxmlformats.org/drawingml/2006/main"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838200</xdr:colOff>
          <xdr:row>270</xdr:row>
          <xdr:rowOff>180975</xdr:rowOff>
        </xdr:from>
        <xdr:to>
          <xdr:col>8</xdr:col>
          <xdr:colOff>428625</xdr:colOff>
          <xdr:row>274</xdr:row>
          <xdr:rowOff>47625</xdr:rowOff>
        </xdr:to>
        <xdr:sp macro="" textlink="">
          <xdr:nvSpPr>
            <xdr:cNvPr id="24578" name="CommandButton2" hidden="1">
              <a:extLst>
                <a:ext uri="{63B3BB69-23CF-44E3-9099-C40C66FF867C}">
                  <a14:compatExt spid="_x0000_s24578"/>
                </a:ext>
                <a:ext uri="{FF2B5EF4-FFF2-40B4-BE49-F238E27FC236}">
                  <a16:creationId xmlns:a16="http://schemas.microsoft.com/office/drawing/2014/main" id="{00000000-0008-0000-0300-000002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6</xdr:col>
          <xdr:colOff>828675</xdr:colOff>
          <xdr:row>240</xdr:row>
          <xdr:rowOff>0</xdr:rowOff>
        </xdr:from>
        <xdr:to>
          <xdr:col>8</xdr:col>
          <xdr:colOff>19050</xdr:colOff>
          <xdr:row>243</xdr:row>
          <xdr:rowOff>52388</xdr:rowOff>
        </xdr:to>
        <xdr:sp macro="" textlink="">
          <xdr:nvSpPr>
            <xdr:cNvPr id="24579" name="CommandButton1" hidden="1">
              <a:extLst>
                <a:ext uri="{63B3BB69-23CF-44E3-9099-C40C66FF867C}">
                  <a14:compatExt spid="_x0000_s24579"/>
                </a:ext>
                <a:ext uri="{FF2B5EF4-FFF2-40B4-BE49-F238E27FC236}">
                  <a16:creationId xmlns:a16="http://schemas.microsoft.com/office/drawing/2014/main" id="{00000000-0008-0000-0300-000003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>
        <xdr:from>
          <xdr:col>5</xdr:col>
          <xdr:colOff>19050</xdr:colOff>
          <xdr:row>2</xdr:row>
          <xdr:rowOff>142875</xdr:rowOff>
        </xdr:from>
        <xdr:to>
          <xdr:col>5</xdr:col>
          <xdr:colOff>438150</xdr:colOff>
          <xdr:row>4</xdr:row>
          <xdr:rowOff>0</xdr:rowOff>
        </xdr:to>
        <xdr:sp macro="" textlink="">
          <xdr:nvSpPr>
            <xdr:cNvPr id="24581" name="Spinner 5" hidden="1">
              <a:extLst>
                <a:ext uri="{63B3BB69-23CF-44E3-9099-C40C66FF867C}">
                  <a14:compatExt spid="_x0000_s24581"/>
                </a:ext>
                <a:ext uri="{FF2B5EF4-FFF2-40B4-BE49-F238E27FC236}">
                  <a16:creationId xmlns:a16="http://schemas.microsoft.com/office/drawing/2014/main" id="{00000000-0008-0000-0300-000005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 w="9525">
              <a:miter lim="800000"/>
              <a:headEnd/>
              <a:tailEnd/>
            </a:ln>
          </xdr:spPr>
        </xdr:sp>
        <xdr:clientData/>
      </xdr:twoCellAnchor>
    </mc:Choice>
    <mc:Fallback/>
  </mc:AlternateContent>
  <mc:AlternateContent xmlns:mc="http://schemas.openxmlformats.org/markup-compatibility/2006">
    <mc:Choice xmlns:a14="http://schemas.microsoft.com/office/drawing/2010/main" Requires="a14">
      <xdr:twoCellAnchor editAs="oneCell">
        <xdr:from>
          <xdr:col>13</xdr:col>
          <xdr:colOff>9525</xdr:colOff>
          <xdr:row>52</xdr:row>
          <xdr:rowOff>180975</xdr:rowOff>
        </xdr:from>
        <xdr:to>
          <xdr:col>14</xdr:col>
          <xdr:colOff>304800</xdr:colOff>
          <xdr:row>55</xdr:row>
          <xdr:rowOff>9525</xdr:rowOff>
        </xdr:to>
        <xdr:sp macro="" textlink="">
          <xdr:nvSpPr>
            <xdr:cNvPr id="24582" name="CommandButton3" hidden="1">
              <a:extLst>
                <a:ext uri="{63B3BB69-23CF-44E3-9099-C40C66FF867C}">
                  <a14:compatExt spid="_x0000_s24582"/>
                </a:ext>
                <a:ext uri="{FF2B5EF4-FFF2-40B4-BE49-F238E27FC236}">
                  <a16:creationId xmlns:a16="http://schemas.microsoft.com/office/drawing/2014/main" id="{00000000-0008-0000-0300-000006600000}"/>
                </a:ext>
              </a:extLst>
            </xdr:cNvPr>
            <xdr:cNvSpPr/>
          </xdr:nvSpPr>
          <xdr:spPr bwMode="auto">
            <a:xfrm>
              <a:off x="0" y="0"/>
              <a:ext cx="0" cy="0"/>
            </a:xfrm>
            <a:prstGeom prst="rect">
              <a:avLst/>
            </a:prstGeom>
            <a:noFill/>
            <a:ln>
              <a:noFill/>
            </a:ln>
            <a:extLst>
              <a:ext uri="{91240B29-F687-4F45-9708-019B960494DF}">
                <a14:hiddenLine w="9525">
                  <a:noFill/>
                  <a:miter lim="800000"/>
                  <a:headEnd/>
                  <a:tailEnd/>
                </a14:hiddenLine>
              </a:ext>
            </a:extLst>
          </xdr:spPr>
        </xdr:sp>
        <xdr:clientData/>
      </xdr:twoCellAnchor>
    </mc:Choice>
    <mc:Fallback/>
  </mc:AlternateContent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8" Type="http://schemas.openxmlformats.org/officeDocument/2006/relationships/image" Target="../media/image2.emf"/><Relationship Id="rId3" Type="http://schemas.openxmlformats.org/officeDocument/2006/relationships/drawing" Target="../drawings/drawing1.xml"/><Relationship Id="rId7" Type="http://schemas.openxmlformats.org/officeDocument/2006/relationships/control" Target="../activeX/activeX2.xml"/><Relationship Id="rId2" Type="http://schemas.openxmlformats.org/officeDocument/2006/relationships/printerSettings" Target="../printerSettings/printerSettings1.bin"/><Relationship Id="rId1" Type="http://schemas.openxmlformats.org/officeDocument/2006/relationships/hyperlink" Target="https://urldefense.proofpoint.com/v2/url?u=https-3A__docs.google.com_spreadsheets_d_1fEHhIudqpqXpNEl6jy9pdoFYd33rbDb0cALiPGyNKCQ_edit-23gid-3D1344368619&amp;d=DwMFaQ&amp;c=XYzUhXBD2cD-CornpT4QE19xOJBbRy-TBPLK0X9U2o8&amp;r=E2FVMz8ZZg_RkW0Ez399JpPTN_lKeaNMR4tomxPRHQw&amp;m=39GC34x5a6g2JnZ7Pt5v1zox7ZmTIgG6b1jDpa22nks&amp;s=eyD3cmpBUASAWX8verca2Cmtez0vu_unsF7SwwnlMz0&amp;e=" TargetMode="External"/><Relationship Id="rId6" Type="http://schemas.openxmlformats.org/officeDocument/2006/relationships/image" Target="../media/image1.emf"/><Relationship Id="rId5" Type="http://schemas.openxmlformats.org/officeDocument/2006/relationships/control" Target="../activeX/activeX1.xml"/><Relationship Id="rId4" Type="http://schemas.openxmlformats.org/officeDocument/2006/relationships/vmlDrawing" Target="../drawings/vmlDrawing1.vml"/><Relationship Id="rId9" Type="http://schemas.openxmlformats.org/officeDocument/2006/relationships/comments" Target="../comments1.xml"/></Relationships>
</file>

<file path=xl/worksheets/_rels/sheet2.xml.rels><?xml version="1.0" encoding="UTF-8" standalone="yes"?>
<Relationships xmlns="http://schemas.openxmlformats.org/package/2006/relationships"><Relationship Id="rId3" Type="http://schemas.openxmlformats.org/officeDocument/2006/relationships/comments" Target="../comments2.xml"/><Relationship Id="rId2" Type="http://schemas.openxmlformats.org/officeDocument/2006/relationships/vmlDrawing" Target="../drawings/vmlDrawing2.vml"/><Relationship Id="rId1" Type="http://schemas.openxmlformats.org/officeDocument/2006/relationships/printerSettings" Target="../printerSettings/printerSettings2.bin"/></Relationships>
</file>

<file path=xl/worksheets/_rels/sheet3.xml.rels><?xml version="1.0" encoding="UTF-8" standalone="yes"?>
<Relationships xmlns="http://schemas.openxmlformats.org/package/2006/relationships"><Relationship Id="rId3" Type="http://schemas.openxmlformats.org/officeDocument/2006/relationships/vmlDrawing" Target="../drawings/vmlDrawing3.vml"/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Relationship Id="rId4" Type="http://schemas.openxmlformats.org/officeDocument/2006/relationships/comments" Target="../comments3.xml"/></Relationships>
</file>

<file path=xl/worksheets/_rels/sheet4.xml.rels><?xml version="1.0" encoding="UTF-8" standalone="yes"?>
<Relationships xmlns="http://schemas.openxmlformats.org/package/2006/relationships"><Relationship Id="rId8" Type="http://schemas.openxmlformats.org/officeDocument/2006/relationships/control" Target="../activeX/activeX5.xml"/><Relationship Id="rId3" Type="http://schemas.openxmlformats.org/officeDocument/2006/relationships/vmlDrawing" Target="../drawings/vmlDrawing4.vml"/><Relationship Id="rId7" Type="http://schemas.openxmlformats.org/officeDocument/2006/relationships/image" Target="../media/image5.emf"/><Relationship Id="rId2" Type="http://schemas.openxmlformats.org/officeDocument/2006/relationships/drawing" Target="../drawings/drawing3.xml"/><Relationship Id="rId1" Type="http://schemas.openxmlformats.org/officeDocument/2006/relationships/printerSettings" Target="../printerSettings/printerSettings4.bin"/><Relationship Id="rId6" Type="http://schemas.openxmlformats.org/officeDocument/2006/relationships/control" Target="../activeX/activeX4.xml"/><Relationship Id="rId11" Type="http://schemas.openxmlformats.org/officeDocument/2006/relationships/comments" Target="../comments4.xml"/><Relationship Id="rId5" Type="http://schemas.openxmlformats.org/officeDocument/2006/relationships/image" Target="../media/image4.emf"/><Relationship Id="rId10" Type="http://schemas.openxmlformats.org/officeDocument/2006/relationships/ctrlProp" Target="../ctrlProps/ctrlProp1.xml"/><Relationship Id="rId4" Type="http://schemas.openxmlformats.org/officeDocument/2006/relationships/control" Target="../activeX/activeX3.xml"/><Relationship Id="rId9" Type="http://schemas.openxmlformats.org/officeDocument/2006/relationships/image" Target="../media/image6.emf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3421159-ADF4-48A2-92F9-B382871DA005}">
  <sheetPr codeName="Blad2"/>
  <dimension ref="B1:W141"/>
  <sheetViews>
    <sheetView zoomScale="95" zoomScaleNormal="95" workbookViewId="0">
      <selection activeCell="E14" sqref="E14"/>
    </sheetView>
  </sheetViews>
  <sheetFormatPr defaultRowHeight="14.25" x14ac:dyDescent="0.45"/>
  <cols>
    <col min="2" max="2" width="14" customWidth="1"/>
    <col min="3" max="3" width="28.265625" customWidth="1"/>
    <col min="4" max="4" width="7" customWidth="1"/>
    <col min="5" max="5" width="8.265625" customWidth="1"/>
    <col min="6" max="6" width="18.86328125" customWidth="1"/>
    <col min="7" max="7" width="8.86328125" customWidth="1"/>
    <col min="8" max="8" width="7.86328125" customWidth="1"/>
    <col min="9" max="9" width="8.59765625" customWidth="1"/>
    <col min="10" max="10" width="11.3984375" customWidth="1"/>
    <col min="11" max="11" width="16.86328125" customWidth="1"/>
    <col min="12" max="12" width="10.265625" customWidth="1"/>
    <col min="13" max="13" width="9.1328125" customWidth="1"/>
    <col min="14" max="14" width="20" customWidth="1"/>
  </cols>
  <sheetData>
    <row r="1" spans="2:23" ht="14.65" thickBot="1" x14ac:dyDescent="0.5"/>
    <row r="2" spans="2:23" ht="14.65" thickBot="1" x14ac:dyDescent="0.5">
      <c r="C2" s="60" t="s">
        <v>359</v>
      </c>
      <c r="K2" s="841" t="s">
        <v>350</v>
      </c>
    </row>
    <row r="3" spans="2:23" x14ac:dyDescent="0.45">
      <c r="C3" s="19" t="s">
        <v>31</v>
      </c>
      <c r="D3" s="842">
        <v>50</v>
      </c>
      <c r="E3" s="21" t="s">
        <v>30</v>
      </c>
    </row>
    <row r="4" spans="2:23" x14ac:dyDescent="0.45">
      <c r="C4" s="47" t="s">
        <v>346</v>
      </c>
      <c r="D4" s="843">
        <v>75</v>
      </c>
      <c r="E4" s="48" t="s">
        <v>43</v>
      </c>
    </row>
    <row r="5" spans="2:23" ht="14.65" thickBot="1" x14ac:dyDescent="0.5">
      <c r="C5" s="28" t="s">
        <v>23</v>
      </c>
      <c r="D5" s="853">
        <v>0.06</v>
      </c>
      <c r="E5" s="29"/>
    </row>
    <row r="8" spans="2:23" x14ac:dyDescent="0.45">
      <c r="C8" s="33"/>
      <c r="D8" s="790"/>
      <c r="E8" s="33"/>
      <c r="F8" s="33"/>
      <c r="L8" s="1"/>
      <c r="M8" s="1"/>
      <c r="N8" s="716"/>
      <c r="O8" s="1"/>
      <c r="P8" s="1"/>
      <c r="Q8" s="1"/>
      <c r="R8" s="1"/>
      <c r="S8" s="1"/>
    </row>
    <row r="9" spans="2:23" x14ac:dyDescent="0.45">
      <c r="C9" s="33"/>
      <c r="D9" s="790"/>
      <c r="E9" s="33"/>
      <c r="F9" s="33"/>
      <c r="L9" s="1"/>
      <c r="M9" s="1"/>
      <c r="N9" s="716"/>
      <c r="O9" s="1"/>
      <c r="P9" s="1"/>
      <c r="Q9" s="1"/>
      <c r="R9" s="1"/>
      <c r="S9" s="1"/>
    </row>
    <row r="10" spans="2:23" ht="14.65" thickBot="1" x14ac:dyDescent="0.5">
      <c r="L10" s="1"/>
      <c r="M10" s="1"/>
      <c r="N10" s="1"/>
      <c r="O10" s="1"/>
      <c r="P10" s="1"/>
      <c r="Q10" s="1"/>
      <c r="R10" s="1"/>
      <c r="S10" s="1"/>
    </row>
    <row r="11" spans="2:23" ht="14.65" thickBot="1" x14ac:dyDescent="0.5">
      <c r="C11" s="240" t="s">
        <v>295</v>
      </c>
      <c r="D11" s="952" t="s">
        <v>25</v>
      </c>
      <c r="E11" s="953"/>
      <c r="F11" s="954" t="s">
        <v>131</v>
      </c>
      <c r="G11" s="953"/>
      <c r="H11" s="954" t="s">
        <v>131</v>
      </c>
      <c r="I11" s="953"/>
      <c r="L11" s="1"/>
      <c r="M11" s="718"/>
      <c r="N11" s="730"/>
      <c r="R11" s="730"/>
      <c r="S11" s="730"/>
    </row>
    <row r="12" spans="2:23" ht="14.65" thickBot="1" x14ac:dyDescent="0.5">
      <c r="C12" s="241"/>
      <c r="D12" s="955" t="s">
        <v>40</v>
      </c>
      <c r="E12" s="945"/>
      <c r="F12" s="944" t="s">
        <v>49</v>
      </c>
      <c r="G12" s="945"/>
      <c r="H12" s="944" t="s">
        <v>155</v>
      </c>
      <c r="I12" s="945"/>
      <c r="L12" s="1" t="s">
        <v>141</v>
      </c>
      <c r="M12" s="719"/>
      <c r="N12" s="731"/>
      <c r="O12" s="949" t="s">
        <v>23</v>
      </c>
      <c r="P12" s="950"/>
      <c r="Q12" s="951"/>
      <c r="R12" s="959" t="s">
        <v>66</v>
      </c>
      <c r="S12" s="960"/>
      <c r="T12" s="961"/>
      <c r="U12" s="956" t="s">
        <v>71</v>
      </c>
      <c r="V12" s="957"/>
      <c r="W12" s="958"/>
    </row>
    <row r="13" spans="2:23" ht="14.65" thickBot="1" x14ac:dyDescent="0.5">
      <c r="D13" s="609">
        <v>2035</v>
      </c>
      <c r="E13" s="402">
        <v>2050</v>
      </c>
      <c r="F13" s="609">
        <v>2035</v>
      </c>
      <c r="G13" s="402">
        <v>2050</v>
      </c>
      <c r="H13" s="404">
        <v>2035</v>
      </c>
      <c r="I13" s="402">
        <v>2050</v>
      </c>
      <c r="L13" s="1" t="s">
        <v>309</v>
      </c>
      <c r="O13" s="733">
        <v>4.4999999999999998E-2</v>
      </c>
      <c r="P13" s="737">
        <v>0.06</v>
      </c>
      <c r="Q13" s="734">
        <v>7.4999999999999997E-2</v>
      </c>
      <c r="R13" s="735">
        <v>0.5</v>
      </c>
      <c r="S13" s="738">
        <v>1</v>
      </c>
      <c r="T13" s="736">
        <v>1.5</v>
      </c>
      <c r="U13" s="739">
        <v>0.75</v>
      </c>
      <c r="V13" s="740">
        <v>1</v>
      </c>
      <c r="W13" s="398">
        <v>1.25</v>
      </c>
    </row>
    <row r="14" spans="2:23" ht="15" customHeight="1" x14ac:dyDescent="0.45">
      <c r="B14" s="946" t="s">
        <v>140</v>
      </c>
      <c r="C14" s="243" t="s">
        <v>138</v>
      </c>
      <c r="D14" s="255">
        <f>Calculations!S161</f>
        <v>22.145594024787687</v>
      </c>
      <c r="E14" s="297">
        <f>Calculations!T161</f>
        <v>20.246834988911566</v>
      </c>
      <c r="F14" s="249"/>
      <c r="G14" s="249"/>
      <c r="H14" s="19"/>
      <c r="I14" s="21"/>
      <c r="L14" s="458" t="s">
        <v>11</v>
      </c>
      <c r="M14" s="719"/>
      <c r="N14" s="720"/>
      <c r="O14" s="257">
        <v>26.457417742322793</v>
      </c>
      <c r="P14" s="257">
        <v>30.254954250413174</v>
      </c>
      <c r="Q14" s="302">
        <v>34.395219451844298</v>
      </c>
      <c r="R14" s="302">
        <v>32.370344855691108</v>
      </c>
      <c r="S14" s="257">
        <v>30.254954250413174</v>
      </c>
      <c r="T14" s="302">
        <v>29.549824048653861</v>
      </c>
      <c r="U14" s="302">
        <v>27.516346647864498</v>
      </c>
      <c r="V14" s="257">
        <v>30.254954250413174</v>
      </c>
      <c r="W14" s="302">
        <v>33.568718314462807</v>
      </c>
    </row>
    <row r="15" spans="2:23" ht="15.75" thickBot="1" x14ac:dyDescent="0.5">
      <c r="B15" s="947"/>
      <c r="C15" s="244" t="s">
        <v>141</v>
      </c>
      <c r="D15" s="255">
        <f>Calculations!S162</f>
        <v>31.846170232372767</v>
      </c>
      <c r="E15" s="297">
        <f>Calculations!T162</f>
        <v>27.507725125764154</v>
      </c>
      <c r="F15" s="403"/>
      <c r="G15" s="403"/>
      <c r="H15" s="47"/>
      <c r="I15" s="48"/>
      <c r="L15" s="732" t="s">
        <v>129</v>
      </c>
      <c r="M15" s="719"/>
      <c r="N15" s="720"/>
      <c r="O15" s="259">
        <v>37.8081532715496</v>
      </c>
      <c r="P15" s="259">
        <v>43.37768259396077</v>
      </c>
      <c r="Q15" s="304">
        <v>49.449863438780312</v>
      </c>
      <c r="R15" s="304">
        <v>43.37768259396077</v>
      </c>
      <c r="S15" s="259">
        <v>43.37768259396077</v>
      </c>
      <c r="T15" s="304">
        <v>43.37768259396077</v>
      </c>
      <c r="U15" s="304">
        <v>39.542471281368194</v>
      </c>
      <c r="V15" s="259">
        <v>43.37768259396077</v>
      </c>
      <c r="W15" s="304">
        <v>48.101365713781149</v>
      </c>
    </row>
    <row r="16" spans="2:23" ht="14.65" thickBot="1" x14ac:dyDescent="0.5">
      <c r="B16" s="947"/>
      <c r="C16" s="244" t="s">
        <v>144</v>
      </c>
      <c r="D16" s="255"/>
      <c r="E16" s="297"/>
      <c r="F16" s="258">
        <f>Calculations!U163</f>
        <v>2.0884243533245299</v>
      </c>
      <c r="G16" s="258">
        <f>Calculations!V163</f>
        <v>1.395999507487744</v>
      </c>
      <c r="H16" s="255">
        <f>Calculations!W163</f>
        <v>53.020646487787779</v>
      </c>
      <c r="I16" s="297">
        <f>Calculations!X163</f>
        <v>35.441454350887717</v>
      </c>
      <c r="L16" s="729"/>
      <c r="M16" s="719"/>
      <c r="N16" s="720"/>
      <c r="O16" s="720"/>
      <c r="P16" s="720"/>
      <c r="Q16" s="720"/>
      <c r="R16" s="720"/>
      <c r="S16" s="720"/>
    </row>
    <row r="17" spans="2:19" ht="14.65" thickBot="1" x14ac:dyDescent="0.5">
      <c r="B17" s="947"/>
      <c r="C17" s="47" t="s">
        <v>143</v>
      </c>
      <c r="D17" s="255"/>
      <c r="E17" s="297"/>
      <c r="F17" s="258">
        <f>Calculations!U164</f>
        <v>1.4708526135827378</v>
      </c>
      <c r="G17" s="258">
        <f>Calculations!V164</f>
        <v>1.1390867004061702</v>
      </c>
      <c r="H17" s="255">
        <f>Calculations!W164</f>
        <v>37.341815295471484</v>
      </c>
      <c r="I17" s="297">
        <f>Calculations!X164</f>
        <v>28.918985341764547</v>
      </c>
      <c r="L17" s="741" t="s">
        <v>312</v>
      </c>
      <c r="M17" s="1"/>
      <c r="N17" s="720"/>
      <c r="O17" s="941" t="s">
        <v>311</v>
      </c>
      <c r="P17" s="942"/>
      <c r="Q17" s="943"/>
      <c r="R17" s="720"/>
      <c r="S17" s="720"/>
    </row>
    <row r="18" spans="2:19" ht="14.65" thickBot="1" x14ac:dyDescent="0.5">
      <c r="B18" s="948"/>
      <c r="C18" s="245" t="s">
        <v>142</v>
      </c>
      <c r="D18" s="259"/>
      <c r="E18" s="413"/>
      <c r="F18" s="258">
        <f>Calculations!U165</f>
        <v>1.7097403045144508</v>
      </c>
      <c r="G18" s="258">
        <f>Calculations!V165</f>
        <v>1.3433283888735623</v>
      </c>
      <c r="H18" s="259">
        <f>Calculations!W165</f>
        <v>43.406664994725126</v>
      </c>
      <c r="I18" s="413">
        <f>Calculations!X165</f>
        <v>34.10424682612711</v>
      </c>
      <c r="L18" s="1" t="s">
        <v>309</v>
      </c>
      <c r="M18" s="719"/>
      <c r="N18" s="720"/>
      <c r="O18" s="779">
        <v>100</v>
      </c>
      <c r="P18" s="780">
        <v>200</v>
      </c>
      <c r="Q18" s="780">
        <v>475</v>
      </c>
      <c r="R18" s="720"/>
      <c r="S18" s="720"/>
    </row>
    <row r="19" spans="2:19" ht="14.65" thickBot="1" x14ac:dyDescent="0.5">
      <c r="B19" s="254"/>
      <c r="C19" s="244"/>
      <c r="D19" s="609">
        <v>2035</v>
      </c>
      <c r="E19" s="411">
        <v>2050</v>
      </c>
      <c r="F19" s="609">
        <v>2035</v>
      </c>
      <c r="G19" s="263">
        <v>2050</v>
      </c>
      <c r="H19" s="609">
        <v>2035</v>
      </c>
      <c r="I19" s="263">
        <v>2050</v>
      </c>
      <c r="L19" s="723" t="s">
        <v>11</v>
      </c>
      <c r="M19" s="719"/>
      <c r="N19" s="5"/>
      <c r="O19" s="251">
        <v>1.4301077653775123</v>
      </c>
      <c r="P19" s="624">
        <v>1.6075981278883034</v>
      </c>
      <c r="Q19" s="304">
        <v>2.0956966247929794</v>
      </c>
      <c r="R19" s="5"/>
      <c r="S19" s="334"/>
    </row>
    <row r="20" spans="2:19" ht="15" customHeight="1" x14ac:dyDescent="0.45">
      <c r="B20" s="946" t="s">
        <v>129</v>
      </c>
      <c r="C20" s="243" t="s">
        <v>138</v>
      </c>
      <c r="D20" s="257">
        <f>Calculations!S167</f>
        <v>33.681898987370737</v>
      </c>
      <c r="E20" s="296">
        <f>Calculations!T167</f>
        <v>23.349915032035252</v>
      </c>
      <c r="F20" s="412"/>
      <c r="G20" s="248"/>
      <c r="H20" s="400"/>
      <c r="I20" s="401"/>
      <c r="L20" s="9"/>
      <c r="M20" s="719"/>
      <c r="N20" s="720"/>
      <c r="O20" s="720"/>
      <c r="P20" s="5"/>
      <c r="Q20" s="5"/>
      <c r="R20" s="716"/>
      <c r="S20" s="716"/>
    </row>
    <row r="21" spans="2:19" x14ac:dyDescent="0.45">
      <c r="B21" s="947"/>
      <c r="C21" s="244" t="s">
        <v>141</v>
      </c>
      <c r="D21" s="255">
        <f>Calculations!S168</f>
        <v>42.85489698392356</v>
      </c>
      <c r="E21" s="297">
        <f>Calculations!T168</f>
        <v>31.98028493620787</v>
      </c>
      <c r="F21" s="246"/>
      <c r="G21" s="247"/>
      <c r="H21" s="23"/>
      <c r="I21" s="24"/>
      <c r="M21" s="719"/>
      <c r="N21" s="720"/>
      <c r="O21" s="720"/>
      <c r="P21" s="5"/>
      <c r="Q21" s="5"/>
      <c r="R21" s="716"/>
      <c r="S21" s="716"/>
    </row>
    <row r="22" spans="2:19" x14ac:dyDescent="0.45">
      <c r="B22" s="947"/>
      <c r="C22" s="244" t="s">
        <v>144</v>
      </c>
      <c r="D22" s="246"/>
      <c r="E22" s="247"/>
      <c r="F22" s="255">
        <f>Calculations!U169</f>
        <v>2.4963476115194223</v>
      </c>
      <c r="G22" s="297">
        <f>Calculations!V169</f>
        <v>1.6848025073386812</v>
      </c>
      <c r="H22" s="255">
        <f>Calculations!W169</f>
        <v>63.37694923462567</v>
      </c>
      <c r="I22" s="297">
        <f>Calculations!X169</f>
        <v>42.773547435960879</v>
      </c>
      <c r="L22" s="9"/>
      <c r="M22" s="719"/>
      <c r="N22" s="5"/>
      <c r="O22" s="5"/>
      <c r="P22" s="720"/>
      <c r="Q22" s="720"/>
      <c r="R22" s="720"/>
      <c r="S22" s="720"/>
    </row>
    <row r="23" spans="2:19" x14ac:dyDescent="0.45">
      <c r="B23" s="947"/>
      <c r="C23" s="47" t="s">
        <v>143</v>
      </c>
      <c r="D23" s="246"/>
      <c r="E23" s="247"/>
      <c r="F23" s="255">
        <f>Calculations!U170</f>
        <v>2.0128795071139542</v>
      </c>
      <c r="G23" s="297">
        <f>Calculations!V170</f>
        <v>1.2672014034694001</v>
      </c>
      <c r="H23" s="255">
        <f>Calculations!W170</f>
        <v>51.102723734909979</v>
      </c>
      <c r="I23" s="297">
        <f>Calculations!X170</f>
        <v>32.171544798941042</v>
      </c>
      <c r="L23" s="729"/>
      <c r="M23" s="1"/>
      <c r="N23" s="5"/>
      <c r="O23" s="5"/>
      <c r="P23" s="720"/>
      <c r="Q23" s="720"/>
      <c r="R23" s="720"/>
      <c r="S23" s="720"/>
    </row>
    <row r="24" spans="2:19" ht="14.65" thickBot="1" x14ac:dyDescent="0.5">
      <c r="B24" s="948"/>
      <c r="C24" s="245" t="s">
        <v>142</v>
      </c>
      <c r="D24" s="253"/>
      <c r="E24" s="252"/>
      <c r="F24" s="259">
        <f>Calculations!U171</f>
        <v>2.2653800379015152</v>
      </c>
      <c r="G24" s="413">
        <f>Calculations!V171</f>
        <v>1.4735221555656852</v>
      </c>
      <c r="H24" s="259">
        <f>Calculations!W171</f>
        <v>57.513174446018716</v>
      </c>
      <c r="I24" s="413">
        <f>Calculations!X171</f>
        <v>37.409589280934178</v>
      </c>
      <c r="L24" s="729"/>
      <c r="M24" s="719"/>
      <c r="N24" s="5"/>
      <c r="O24" s="5"/>
      <c r="P24" s="720"/>
      <c r="Q24" s="720"/>
      <c r="R24" s="720"/>
      <c r="S24" s="720"/>
    </row>
    <row r="25" spans="2:19" ht="14.65" thickBot="1" x14ac:dyDescent="0.5"/>
    <row r="26" spans="2:19" ht="14.65" thickBot="1" x14ac:dyDescent="0.5">
      <c r="C26" s="845" t="s">
        <v>356</v>
      </c>
    </row>
    <row r="27" spans="2:19" x14ac:dyDescent="0.45">
      <c r="C27" s="45" t="s">
        <v>352</v>
      </c>
      <c r="D27" s="842">
        <v>0</v>
      </c>
      <c r="E27" s="45" t="s">
        <v>43</v>
      </c>
    </row>
    <row r="28" spans="2:19" ht="14.65" thickBot="1" x14ac:dyDescent="0.5">
      <c r="C28" s="40" t="s">
        <v>351</v>
      </c>
      <c r="D28" s="844">
        <v>300</v>
      </c>
      <c r="E28" s="40" t="s">
        <v>43</v>
      </c>
    </row>
    <row r="78" spans="3:5" ht="14.65" thickBot="1" x14ac:dyDescent="0.5"/>
    <row r="79" spans="3:5" ht="14.65" thickBot="1" x14ac:dyDescent="0.5">
      <c r="C79" s="845" t="s">
        <v>357</v>
      </c>
    </row>
    <row r="80" spans="3:5" x14ac:dyDescent="0.45">
      <c r="C80" s="45" t="s">
        <v>353</v>
      </c>
      <c r="D80" s="842">
        <v>0</v>
      </c>
      <c r="E80" s="45" t="s">
        <v>30</v>
      </c>
    </row>
    <row r="81" spans="3:5" ht="14.65" thickBot="1" x14ac:dyDescent="0.5">
      <c r="C81" s="40" t="s">
        <v>354</v>
      </c>
      <c r="D81" s="844">
        <v>120</v>
      </c>
      <c r="E81" s="40" t="s">
        <v>30</v>
      </c>
    </row>
    <row r="116" spans="2:16" ht="14.65" thickBot="1" x14ac:dyDescent="0.5"/>
    <row r="117" spans="2:16" ht="23.65" thickBot="1" x14ac:dyDescent="0.75">
      <c r="B117" s="408" t="s">
        <v>203</v>
      </c>
      <c r="C117" s="105"/>
      <c r="D117" s="409">
        <f>Calculations!F249</f>
        <v>50</v>
      </c>
      <c r="E117" s="410" t="s">
        <v>43</v>
      </c>
      <c r="F117" s="408" t="s">
        <v>31</v>
      </c>
      <c r="G117" s="409">
        <f>Calculations!I249</f>
        <v>75</v>
      </c>
      <c r="H117" s="410" t="s">
        <v>30</v>
      </c>
      <c r="J117" s="408" t="s">
        <v>203</v>
      </c>
      <c r="K117" s="105"/>
      <c r="L117" s="409">
        <f>Calculations!F249</f>
        <v>50</v>
      </c>
      <c r="M117" s="410" t="s">
        <v>43</v>
      </c>
      <c r="N117" s="408" t="s">
        <v>31</v>
      </c>
      <c r="O117" s="409">
        <f>Calculations!I249</f>
        <v>75</v>
      </c>
      <c r="P117" s="410" t="s">
        <v>30</v>
      </c>
    </row>
    <row r="128" spans="2:16" x14ac:dyDescent="0.45">
      <c r="B128" s="77"/>
      <c r="C128" s="77"/>
      <c r="D128" s="33"/>
    </row>
    <row r="129" spans="2:15" x14ac:dyDescent="0.45">
      <c r="B129" s="341"/>
      <c r="C129" s="77"/>
      <c r="D129" s="33"/>
    </row>
    <row r="130" spans="2:15" x14ac:dyDescent="0.45">
      <c r="B130" s="77"/>
      <c r="C130" s="77"/>
      <c r="D130" s="33"/>
    </row>
    <row r="131" spans="2:15" x14ac:dyDescent="0.45">
      <c r="B131" s="77"/>
      <c r="C131" s="77"/>
      <c r="D131" s="33"/>
    </row>
    <row r="132" spans="2:15" x14ac:dyDescent="0.45">
      <c r="B132" s="77"/>
      <c r="C132" s="77"/>
      <c r="D132" s="33"/>
    </row>
    <row r="133" spans="2:15" x14ac:dyDescent="0.45">
      <c r="B133" s="267"/>
      <c r="C133" s="267"/>
      <c r="D133" s="33"/>
    </row>
    <row r="135" spans="2:15" x14ac:dyDescent="0.45">
      <c r="B135" s="16"/>
      <c r="C135" s="173"/>
    </row>
    <row r="136" spans="2:15" x14ac:dyDescent="0.45">
      <c r="B136" s="16"/>
      <c r="C136" s="173"/>
    </row>
    <row r="137" spans="2:15" x14ac:dyDescent="0.45">
      <c r="B137" s="16"/>
      <c r="C137" s="173"/>
    </row>
    <row r="138" spans="2:15" ht="14.65" thickBot="1" x14ac:dyDescent="0.5">
      <c r="B138" s="16"/>
      <c r="C138" s="173"/>
    </row>
    <row r="139" spans="2:15" ht="14.65" thickBot="1" x14ac:dyDescent="0.5">
      <c r="B139" s="19"/>
      <c r="C139" s="956" t="s">
        <v>140</v>
      </c>
      <c r="D139" s="958"/>
      <c r="E139" s="20"/>
      <c r="F139" s="956" t="s">
        <v>129</v>
      </c>
      <c r="G139" s="958"/>
      <c r="J139" s="19"/>
      <c r="K139" s="956" t="s">
        <v>140</v>
      </c>
      <c r="L139" s="958"/>
      <c r="M139" s="20"/>
      <c r="N139" s="956" t="s">
        <v>129</v>
      </c>
      <c r="O139" s="958"/>
    </row>
    <row r="140" spans="2:15" ht="14.65" thickBot="1" x14ac:dyDescent="0.5">
      <c r="B140" s="47"/>
      <c r="C140" s="63">
        <v>2035</v>
      </c>
      <c r="D140" s="63">
        <v>2050</v>
      </c>
      <c r="E140" s="126"/>
      <c r="F140" s="63">
        <v>2035</v>
      </c>
      <c r="G140" s="63">
        <v>2050</v>
      </c>
      <c r="J140" s="47"/>
      <c r="K140" s="63">
        <v>2035</v>
      </c>
      <c r="L140" s="63">
        <v>2050</v>
      </c>
      <c r="M140" s="126"/>
      <c r="N140" s="63">
        <v>2035</v>
      </c>
      <c r="O140" s="63">
        <v>2050</v>
      </c>
    </row>
    <row r="141" spans="2:15" ht="14.65" thickBot="1" x14ac:dyDescent="0.5">
      <c r="B141" s="220" t="s">
        <v>202</v>
      </c>
      <c r="C141" s="405">
        <f>Calculations!S162</f>
        <v>31.846170232372767</v>
      </c>
      <c r="D141" s="405">
        <f>Calculations!T162</f>
        <v>27.507725125764154</v>
      </c>
      <c r="E141" s="167"/>
      <c r="F141" s="405">
        <f>Calculations!S168</f>
        <v>42.85489698392356</v>
      </c>
      <c r="G141" s="405">
        <f>Calculations!T168</f>
        <v>31.98028493620787</v>
      </c>
      <c r="J141" s="220" t="s">
        <v>56</v>
      </c>
      <c r="K141" s="406">
        <f>Calculations!U165</f>
        <v>1.7097403045144508</v>
      </c>
      <c r="L141" s="406">
        <f>Calculations!V165</f>
        <v>1.3433283888735623</v>
      </c>
      <c r="M141" s="407"/>
      <c r="N141" s="406">
        <f>Calculations!U171</f>
        <v>2.2653800379015152</v>
      </c>
      <c r="O141" s="406">
        <f>Calculations!V171</f>
        <v>1.4735221555656852</v>
      </c>
    </row>
  </sheetData>
  <mergeCells count="16">
    <mergeCell ref="C139:D139"/>
    <mergeCell ref="F139:G139"/>
    <mergeCell ref="N139:O139"/>
    <mergeCell ref="K139:L139"/>
    <mergeCell ref="B20:B24"/>
    <mergeCell ref="D11:E11"/>
    <mergeCell ref="F11:G11"/>
    <mergeCell ref="H11:I11"/>
    <mergeCell ref="D12:E12"/>
    <mergeCell ref="U12:W12"/>
    <mergeCell ref="R12:T12"/>
    <mergeCell ref="O17:Q17"/>
    <mergeCell ref="F12:G12"/>
    <mergeCell ref="H12:I12"/>
    <mergeCell ref="B14:B18"/>
    <mergeCell ref="O12:Q12"/>
  </mergeCells>
  <hyperlinks>
    <hyperlink ref="K2" r:id="rId1" display="https://urldefense.proofpoint.com/v2/url?u=https-3A__docs.google.com_spreadsheets_d_1fEHhIudqpqXpNEl6jy9pdoFYd33rbDb0cALiPGyNKCQ_edit-23gid-3D1344368619&amp;d=DwMFaQ&amp;c=XYzUhXBD2cD-CornpT4QE19xOJBbRy-TBPLK0X9U2o8&amp;r=E2FVMz8ZZg_RkW0Ez399JpPTN_lKeaNMR4tomxPRHQw&amp;m=39GC34x5a6g2JnZ7Pt5v1zox7ZmTIgG6b1jDpa22nks&amp;s=eyD3cmpBUASAWX8verca2Cmtez0vu_unsF7SwwnlMz0&amp;e=" xr:uid="{3343F660-F962-4B25-AD8A-18F3AFD7999F}"/>
  </hyperlinks>
  <pageMargins left="0.7" right="0.7" top="0.75" bottom="0.75" header="0.3" footer="0.3"/>
  <pageSetup paperSize="9" orientation="portrait" r:id="rId2"/>
  <drawing r:id="rId3"/>
  <legacyDrawing r:id="rId4"/>
  <controls>
    <mc:AlternateContent xmlns:mc="http://schemas.openxmlformats.org/markup-compatibility/2006">
      <mc:Choice Requires="x14">
        <control shapeId="1027" r:id="rId5" name="CommandButton2">
          <controlPr defaultSize="0" autoLine="0" autoPict="0" r:id="rId6">
            <anchor moveWithCells="1">
              <from>
                <xdr:col>5</xdr:col>
                <xdr:colOff>1200150</xdr:colOff>
                <xdr:row>79</xdr:row>
                <xdr:rowOff>0</xdr:rowOff>
              </from>
              <to>
                <xdr:col>8</xdr:col>
                <xdr:colOff>57150</xdr:colOff>
                <xdr:row>81</xdr:row>
                <xdr:rowOff>28575</xdr:rowOff>
              </to>
            </anchor>
          </controlPr>
        </control>
      </mc:Choice>
      <mc:Fallback>
        <control shapeId="1027" r:id="rId5" name="CommandButton2"/>
      </mc:Fallback>
    </mc:AlternateContent>
    <mc:AlternateContent xmlns:mc="http://schemas.openxmlformats.org/markup-compatibility/2006">
      <mc:Choice Requires="x14">
        <control shapeId="1025" r:id="rId7" name="CommandButton1">
          <controlPr defaultSize="0" autoLine="0" r:id="rId8">
            <anchor moveWithCells="1">
              <from>
                <xdr:col>5</xdr:col>
                <xdr:colOff>628650</xdr:colOff>
                <xdr:row>26</xdr:row>
                <xdr:rowOff>0</xdr:rowOff>
              </from>
              <to>
                <xdr:col>6</xdr:col>
                <xdr:colOff>490538</xdr:colOff>
                <xdr:row>28</xdr:row>
                <xdr:rowOff>42863</xdr:rowOff>
              </to>
            </anchor>
          </controlPr>
        </control>
      </mc:Choice>
      <mc:Fallback>
        <control shapeId="1025" r:id="rId7" name="CommandButton1"/>
      </mc:Fallback>
    </mc:AlternateContent>
  </controls>
</worksheet>
</file>

<file path=xl/worksheets/sheet2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60FA9F1C-20AC-4809-8932-3B31957470F6}">
  <sheetPr codeName="Blad3"/>
  <dimension ref="B1:BE362"/>
  <sheetViews>
    <sheetView topLeftCell="D150" zoomScaleNormal="100" workbookViewId="0">
      <selection activeCell="J161" sqref="J161"/>
    </sheetView>
  </sheetViews>
  <sheetFormatPr defaultRowHeight="14.25" x14ac:dyDescent="0.45"/>
  <cols>
    <col min="1" max="1" width="3" customWidth="1"/>
    <col min="2" max="3" width="5.1328125" customWidth="1"/>
    <col min="4" max="4" width="44.86328125" customWidth="1"/>
    <col min="5" max="5" width="13.265625" customWidth="1"/>
    <col min="6" max="6" width="18.86328125" customWidth="1"/>
    <col min="7" max="7" width="9.1328125" customWidth="1"/>
    <col min="8" max="8" width="8.86328125" customWidth="1"/>
    <col min="9" max="9" width="9.73046875" customWidth="1"/>
    <col min="10" max="10" width="10.1328125" customWidth="1"/>
    <col min="11" max="11" width="23" customWidth="1"/>
    <col min="12" max="12" width="8.73046875" customWidth="1"/>
    <col min="13" max="13" width="10.265625" customWidth="1"/>
    <col min="14" max="14" width="8.73046875" customWidth="1"/>
    <col min="15" max="15" width="9.265625" customWidth="1"/>
    <col min="16" max="16" width="11" customWidth="1"/>
    <col min="17" max="17" width="9.265625" customWidth="1"/>
    <col min="18" max="18" width="9.86328125" customWidth="1"/>
    <col min="19" max="19" width="9.265625" customWidth="1"/>
    <col min="20" max="20" width="20.59765625" customWidth="1"/>
    <col min="21" max="21" width="22.86328125" customWidth="1"/>
    <col min="22" max="22" width="9" customWidth="1"/>
    <col min="23" max="23" width="8.59765625" customWidth="1"/>
    <col min="24" max="24" width="11.86328125" customWidth="1"/>
    <col min="25" max="25" width="14.3984375" customWidth="1"/>
    <col min="26" max="26" width="10" customWidth="1"/>
    <col min="27" max="27" width="10.3984375" customWidth="1"/>
    <col min="28" max="28" width="19.73046875" customWidth="1"/>
    <col min="29" max="29" width="20.86328125" customWidth="1"/>
    <col min="30" max="30" width="10" customWidth="1"/>
    <col min="35" max="35" width="17.1328125" bestFit="1" customWidth="1"/>
  </cols>
  <sheetData>
    <row r="1" spans="3:27" ht="14.65" thickBot="1" x14ac:dyDescent="0.5"/>
    <row r="2" spans="3:27" ht="14.65" thickBot="1" x14ac:dyDescent="0.5">
      <c r="C2" s="25"/>
      <c r="D2" s="60" t="s">
        <v>358</v>
      </c>
      <c r="E2" s="219"/>
      <c r="F2" s="962" t="s">
        <v>8</v>
      </c>
      <c r="G2" s="963"/>
      <c r="H2" s="962" t="s">
        <v>38</v>
      </c>
      <c r="I2" s="963"/>
      <c r="J2" s="25"/>
      <c r="K2" s="25"/>
      <c r="L2" s="984" t="s">
        <v>214</v>
      </c>
      <c r="M2" s="985"/>
      <c r="N2" s="985"/>
      <c r="O2" s="985"/>
      <c r="P2" s="962" t="s">
        <v>25</v>
      </c>
      <c r="Q2" s="981"/>
      <c r="R2" s="981"/>
      <c r="S2" s="963"/>
      <c r="U2" s="60" t="s">
        <v>129</v>
      </c>
      <c r="V2" s="962" t="s">
        <v>214</v>
      </c>
      <c r="W2" s="981"/>
      <c r="X2" s="963"/>
      <c r="Y2" s="962" t="s">
        <v>25</v>
      </c>
      <c r="Z2" s="981"/>
      <c r="AA2" s="963"/>
    </row>
    <row r="3" spans="3:27" ht="28.9" thickBot="1" x14ac:dyDescent="0.5">
      <c r="C3" s="25"/>
      <c r="D3" s="134"/>
      <c r="E3" s="135"/>
      <c r="F3" s="316" t="s">
        <v>248</v>
      </c>
      <c r="G3" s="223">
        <v>2035</v>
      </c>
      <c r="H3" s="486">
        <v>2035</v>
      </c>
      <c r="I3" s="486">
        <v>2050</v>
      </c>
      <c r="K3" s="717" t="s">
        <v>307</v>
      </c>
      <c r="L3" s="425" t="s">
        <v>27</v>
      </c>
      <c r="M3" s="209"/>
      <c r="N3" s="982"/>
      <c r="O3" s="983"/>
      <c r="P3" s="425" t="s">
        <v>27</v>
      </c>
      <c r="Q3" s="209"/>
      <c r="R3" s="982"/>
      <c r="S3" s="983"/>
      <c r="U3" s="37" t="s">
        <v>213</v>
      </c>
      <c r="V3" s="100" t="s">
        <v>258</v>
      </c>
      <c r="W3" s="492"/>
      <c r="X3" s="491"/>
      <c r="Y3" s="100" t="s">
        <v>259</v>
      </c>
      <c r="Z3" s="492"/>
      <c r="AA3" s="491"/>
    </row>
    <row r="4" spans="3:27" ht="14.65" thickBot="1" x14ac:dyDescent="0.5">
      <c r="C4" s="25"/>
      <c r="D4" s="136" t="s">
        <v>76</v>
      </c>
      <c r="E4" s="137" t="s">
        <v>282</v>
      </c>
      <c r="F4" s="317">
        <v>766</v>
      </c>
      <c r="G4" s="365">
        <f>'Learning rates'!K97</f>
        <v>468.94798532588266</v>
      </c>
      <c r="H4" s="43">
        <f>G4</f>
        <v>468.94798532588266</v>
      </c>
      <c r="I4" s="365">
        <f>'Learning rates'!K112</f>
        <v>419.92390141782721</v>
      </c>
      <c r="K4" s="430"/>
      <c r="L4" s="443">
        <v>2022</v>
      </c>
      <c r="M4" s="209">
        <v>2035</v>
      </c>
      <c r="N4" s="101">
        <v>2035</v>
      </c>
      <c r="O4" s="602">
        <v>2050</v>
      </c>
      <c r="P4" s="443">
        <v>2022</v>
      </c>
      <c r="Q4" s="445">
        <v>2035</v>
      </c>
      <c r="R4" s="101">
        <v>2035</v>
      </c>
      <c r="S4" s="602">
        <v>2050</v>
      </c>
      <c r="U4" s="19"/>
      <c r="V4" s="56">
        <v>2035</v>
      </c>
      <c r="W4" s="494">
        <v>2035</v>
      </c>
      <c r="X4" s="489">
        <v>2050</v>
      </c>
      <c r="Y4" s="56">
        <v>2035</v>
      </c>
      <c r="Z4" s="494">
        <v>2035</v>
      </c>
      <c r="AA4" s="489">
        <v>2050</v>
      </c>
    </row>
    <row r="5" spans="3:27" ht="14.65" thickBot="1" x14ac:dyDescent="0.5">
      <c r="C5" s="25"/>
      <c r="D5" s="136" t="s">
        <v>77</v>
      </c>
      <c r="E5" s="137" t="s">
        <v>282</v>
      </c>
      <c r="F5" s="317">
        <v>394</v>
      </c>
      <c r="G5" s="365">
        <f>'Learning rates'!Q97</f>
        <v>233.2154825146483</v>
      </c>
      <c r="H5" s="43">
        <f>G5</f>
        <v>233.2154825146483</v>
      </c>
      <c r="I5" s="365">
        <f>'Learning rates'!Q112</f>
        <v>219.77825625039981</v>
      </c>
      <c r="K5" s="432" t="s">
        <v>37</v>
      </c>
      <c r="L5" s="421" t="s">
        <v>8</v>
      </c>
      <c r="M5" s="290" t="s">
        <v>8</v>
      </c>
      <c r="N5" s="115" t="s">
        <v>38</v>
      </c>
      <c r="O5" s="119" t="s">
        <v>38</v>
      </c>
      <c r="P5" s="421" t="s">
        <v>8</v>
      </c>
      <c r="Q5" s="290" t="s">
        <v>8</v>
      </c>
      <c r="R5" s="115" t="s">
        <v>38</v>
      </c>
      <c r="S5" s="119" t="s">
        <v>38</v>
      </c>
      <c r="U5" s="47" t="s">
        <v>37</v>
      </c>
      <c r="V5" s="35" t="s">
        <v>8</v>
      </c>
      <c r="W5" s="341" t="s">
        <v>38</v>
      </c>
      <c r="X5" s="24" t="s">
        <v>38</v>
      </c>
      <c r="Y5" s="35" t="s">
        <v>8</v>
      </c>
      <c r="Z5" s="341" t="s">
        <v>38</v>
      </c>
      <c r="AA5" s="24" t="s">
        <v>38</v>
      </c>
    </row>
    <row r="6" spans="3:27" ht="14.65" thickBot="1" x14ac:dyDescent="0.5">
      <c r="C6" s="25"/>
      <c r="D6" s="136" t="s">
        <v>20</v>
      </c>
      <c r="E6" s="137" t="s">
        <v>282</v>
      </c>
      <c r="F6" s="317">
        <v>58</v>
      </c>
      <c r="G6" s="365">
        <f>'Learning rates'!R97</f>
        <v>40.026954767327233</v>
      </c>
      <c r="H6" s="533">
        <f>G6/2</f>
        <v>20.013477383663616</v>
      </c>
      <c r="I6" s="365">
        <f>'Learning rates'!R112/2</f>
        <v>18.860356582938838</v>
      </c>
      <c r="K6" s="432" t="s">
        <v>215</v>
      </c>
      <c r="L6" s="443"/>
      <c r="M6" s="447"/>
      <c r="N6" s="443"/>
      <c r="O6" s="448"/>
      <c r="P6" s="443">
        <v>27</v>
      </c>
      <c r="Q6" s="447">
        <v>30</v>
      </c>
      <c r="R6" s="443">
        <v>30</v>
      </c>
      <c r="S6" s="448">
        <v>30</v>
      </c>
      <c r="U6" s="47" t="s">
        <v>215</v>
      </c>
      <c r="V6" s="34"/>
      <c r="W6" s="33"/>
      <c r="X6" s="48"/>
      <c r="Y6" s="35">
        <v>30</v>
      </c>
      <c r="Z6" s="341">
        <v>30</v>
      </c>
      <c r="AA6" s="24">
        <v>30</v>
      </c>
    </row>
    <row r="7" spans="3:27" ht="14.65" thickBot="1" x14ac:dyDescent="0.5">
      <c r="C7" s="25"/>
      <c r="D7" s="136" t="s">
        <v>12</v>
      </c>
      <c r="E7" s="137" t="s">
        <v>282</v>
      </c>
      <c r="F7" s="317">
        <v>325</v>
      </c>
      <c r="G7" s="487">
        <f>'Learning rates'!L97</f>
        <v>224.28897067898882</v>
      </c>
      <c r="H7" s="488">
        <f>SUM(F187:F188)/20*1000</f>
        <v>147.03237175750002</v>
      </c>
      <c r="I7" s="365">
        <f>H7*(1-'Learning rates'!L119)</f>
        <v>138.56077619201031</v>
      </c>
      <c r="K7" s="432" t="s">
        <v>101</v>
      </c>
      <c r="L7" s="449"/>
      <c r="M7" s="450"/>
      <c r="N7" s="449"/>
      <c r="O7" s="451"/>
      <c r="P7" s="449">
        <v>0.51</v>
      </c>
      <c r="Q7" s="450">
        <v>0.51</v>
      </c>
      <c r="R7" s="449">
        <v>0.65</v>
      </c>
      <c r="S7" s="451">
        <v>0.65</v>
      </c>
      <c r="U7" s="47" t="s">
        <v>65</v>
      </c>
      <c r="V7" s="34"/>
      <c r="W7" s="33"/>
      <c r="X7" s="48"/>
      <c r="Y7" s="50">
        <v>0.51</v>
      </c>
      <c r="Z7" s="192">
        <v>0.65</v>
      </c>
      <c r="AA7" s="191">
        <v>0.65</v>
      </c>
    </row>
    <row r="8" spans="3:27" ht="14.65" thickBot="1" x14ac:dyDescent="0.5">
      <c r="C8" s="25"/>
      <c r="D8" s="136" t="s">
        <v>78</v>
      </c>
      <c r="E8" s="137" t="s">
        <v>282</v>
      </c>
      <c r="F8" s="317">
        <v>116</v>
      </c>
      <c r="G8" s="365">
        <f>'Learning rates'!S97</f>
        <v>80.053909534654466</v>
      </c>
      <c r="H8" s="533">
        <f>F189/20*1000</f>
        <v>48.036345938174229</v>
      </c>
      <c r="I8" s="514">
        <f>H8*(1-'Learning rates'!S119)</f>
        <v>45.268625535055556</v>
      </c>
      <c r="K8" s="138" t="s">
        <v>224</v>
      </c>
      <c r="L8" s="422"/>
      <c r="M8" s="423"/>
      <c r="N8" s="422"/>
      <c r="O8" s="424"/>
      <c r="P8" s="422">
        <f>P7*8760*1000</f>
        <v>4467600</v>
      </c>
      <c r="Q8" s="423">
        <f>Q7*8760*1000</f>
        <v>4467600</v>
      </c>
      <c r="R8" s="422">
        <f>R7*8760*1000</f>
        <v>5694000</v>
      </c>
      <c r="S8" s="424">
        <f>S7*8760*1000</f>
        <v>5694000</v>
      </c>
      <c r="T8" s="423"/>
      <c r="U8" s="28" t="s">
        <v>224</v>
      </c>
      <c r="V8" s="40"/>
      <c r="W8" s="68"/>
      <c r="X8" s="29"/>
      <c r="Y8" s="632">
        <f>Y7*8760*1000</f>
        <v>4467600</v>
      </c>
      <c r="Z8" s="556">
        <f>Z7*8760*1000</f>
        <v>5694000</v>
      </c>
      <c r="AA8" s="557">
        <f>AA7*8760*1000</f>
        <v>5694000</v>
      </c>
    </row>
    <row r="9" spans="3:27" ht="14.65" thickBot="1" x14ac:dyDescent="0.5">
      <c r="C9" s="25"/>
      <c r="D9" s="136"/>
      <c r="E9" s="137"/>
      <c r="F9" s="317"/>
      <c r="G9" s="11"/>
      <c r="H9" s="453"/>
      <c r="K9" s="434"/>
      <c r="L9" s="435"/>
      <c r="M9" s="436"/>
      <c r="N9" s="435"/>
      <c r="O9" s="521"/>
      <c r="P9" s="429"/>
      <c r="Q9" s="165"/>
      <c r="R9" s="429"/>
      <c r="S9" s="166"/>
      <c r="U9" s="45"/>
      <c r="V9" s="45"/>
      <c r="W9" s="20"/>
      <c r="X9" s="20"/>
      <c r="Y9" s="45"/>
      <c r="Z9" s="20"/>
      <c r="AA9" s="21"/>
    </row>
    <row r="10" spans="3:27" ht="14.65" thickBot="1" x14ac:dyDescent="0.5">
      <c r="C10" s="25"/>
      <c r="D10" s="136" t="s">
        <v>79</v>
      </c>
      <c r="E10" s="137" t="s">
        <v>86</v>
      </c>
      <c r="F10" s="317">
        <v>380</v>
      </c>
      <c r="G10" s="365">
        <f>'Learning rates'!M97</f>
        <v>262.24556571697156</v>
      </c>
      <c r="H10" s="452">
        <f t="shared" ref="H10:H16" si="0">G10</f>
        <v>262.24556571697156</v>
      </c>
      <c r="I10" s="43">
        <f>'Learning rates'!M112</f>
        <v>247.13570694885365</v>
      </c>
      <c r="K10" s="432"/>
      <c r="L10" s="422" t="s">
        <v>15</v>
      </c>
      <c r="M10" s="423" t="s">
        <v>15</v>
      </c>
      <c r="N10" s="422" t="s">
        <v>15</v>
      </c>
      <c r="O10" s="424" t="s">
        <v>15</v>
      </c>
      <c r="P10" s="427" t="s">
        <v>40</v>
      </c>
      <c r="Q10" s="426" t="s">
        <v>40</v>
      </c>
      <c r="R10" s="427" t="s">
        <v>40</v>
      </c>
      <c r="S10" s="428" t="s">
        <v>40</v>
      </c>
      <c r="U10" s="34"/>
      <c r="V10" s="35" t="s">
        <v>15</v>
      </c>
      <c r="W10" s="341" t="s">
        <v>15</v>
      </c>
      <c r="X10" s="341" t="s">
        <v>15</v>
      </c>
      <c r="Y10" s="196" t="s">
        <v>40</v>
      </c>
      <c r="Z10" s="291" t="s">
        <v>40</v>
      </c>
      <c r="AA10" s="180" t="s">
        <v>40</v>
      </c>
    </row>
    <row r="11" spans="3:27" ht="14.65" thickBot="1" x14ac:dyDescent="0.5">
      <c r="C11" s="25"/>
      <c r="D11" s="136" t="s">
        <v>87</v>
      </c>
      <c r="E11" s="137" t="s">
        <v>86</v>
      </c>
      <c r="F11" s="317">
        <v>1470</v>
      </c>
      <c r="G11" s="365">
        <f>'Learning rates'!T97</f>
        <v>1014.4762673788107</v>
      </c>
      <c r="H11" s="452">
        <f t="shared" si="0"/>
        <v>1014.4762673788107</v>
      </c>
      <c r="I11" s="43">
        <f>'Learning rates'!T112</f>
        <v>956.02497161793383</v>
      </c>
      <c r="K11" s="525" t="s">
        <v>7</v>
      </c>
      <c r="L11" s="526">
        <f>SUM(L12:L14)</f>
        <v>1218</v>
      </c>
      <c r="M11" s="527">
        <f>SUM(M12:M14)</f>
        <v>742.19042260785818</v>
      </c>
      <c r="N11" s="540">
        <f>SUM(N12:N14)</f>
        <v>722.17694522419458</v>
      </c>
      <c r="O11" s="537">
        <f>SUM(O12:O14)</f>
        <v>658.56251425116591</v>
      </c>
      <c r="P11" s="530">
        <f>(L11*$L$64*$L$67)/P$8*1000000</f>
        <v>21.875525450947158</v>
      </c>
      <c r="Q11" s="531">
        <f>(M11*$M$64*$M$67)/Q$8*1000000</f>
        <v>12.793107238796436</v>
      </c>
      <c r="R11" s="530">
        <f>(N11*$M$64*$M$67)/R$8*1000000</f>
        <v>9.7669987903354212</v>
      </c>
      <c r="S11" s="532">
        <f>(O11*$M$64*$M$67)/S$8*1000000</f>
        <v>8.9066527567624973</v>
      </c>
      <c r="U11" s="525" t="s">
        <v>7</v>
      </c>
      <c r="V11" s="550">
        <v>1160</v>
      </c>
      <c r="W11" s="527">
        <f>SUM(W12:W14)</f>
        <v>722.17694522419458</v>
      </c>
      <c r="X11" s="527">
        <f>SUM(X12:X14)</f>
        <v>658.56251425116591</v>
      </c>
      <c r="Y11" s="554">
        <f>V11*$M$64*$M$67*1000000/Y$8</f>
        <v>19.994874556397622</v>
      </c>
      <c r="Z11" s="531">
        <f>W11*$M$64*$M$67*1000000/Z$8</f>
        <v>9.7669987903354212</v>
      </c>
      <c r="AA11" s="532">
        <f>X11*$M$64*$M$67*1000000/AA$8</f>
        <v>8.9066527567624956</v>
      </c>
    </row>
    <row r="12" spans="3:27" ht="14.65" thickBot="1" x14ac:dyDescent="0.5">
      <c r="C12" s="25"/>
      <c r="D12" s="136" t="s">
        <v>88</v>
      </c>
      <c r="E12" s="137" t="s">
        <v>86</v>
      </c>
      <c r="F12" s="317">
        <v>2510</v>
      </c>
      <c r="G12" s="365">
        <f>'Learning rates'!N97</f>
        <v>1732.2009735515751</v>
      </c>
      <c r="H12" s="452">
        <f t="shared" si="0"/>
        <v>1732.2009735515751</v>
      </c>
      <c r="I12" s="43">
        <f>'Learning rates'!N112</f>
        <v>1632.3963801095338</v>
      </c>
      <c r="K12" s="431" t="s">
        <v>212</v>
      </c>
      <c r="L12" s="67">
        <f t="shared" ref="L12:O14" si="1">F4</f>
        <v>766</v>
      </c>
      <c r="M12" s="26">
        <f t="shared" si="1"/>
        <v>468.94798532588266</v>
      </c>
      <c r="N12" s="67">
        <f t="shared" si="1"/>
        <v>468.94798532588266</v>
      </c>
      <c r="O12" s="148">
        <f t="shared" si="1"/>
        <v>419.92390141782721</v>
      </c>
      <c r="P12" s="115"/>
      <c r="Q12" s="290"/>
      <c r="R12" s="115"/>
      <c r="S12" s="119"/>
      <c r="U12" s="431" t="s">
        <v>212</v>
      </c>
      <c r="V12" s="44"/>
      <c r="W12" s="26">
        <f>M12</f>
        <v>468.94798532588266</v>
      </c>
      <c r="X12" s="26">
        <f>O12</f>
        <v>419.92390141782721</v>
      </c>
      <c r="Y12" s="52"/>
      <c r="Z12" s="341"/>
      <c r="AA12" s="24"/>
    </row>
    <row r="13" spans="3:27" ht="14.65" thickBot="1" x14ac:dyDescent="0.5">
      <c r="C13" s="25"/>
      <c r="D13" s="136" t="s">
        <v>17</v>
      </c>
      <c r="E13" s="137" t="s">
        <v>282</v>
      </c>
      <c r="F13" s="317">
        <v>145</v>
      </c>
      <c r="G13" s="365">
        <f>'Learning rates'!O97</f>
        <v>100.06738691831808</v>
      </c>
      <c r="H13" s="452">
        <f t="shared" si="0"/>
        <v>100.06738691831808</v>
      </c>
      <c r="I13" s="43">
        <f>'Learning rates'!O112</f>
        <v>94.301782914694172</v>
      </c>
      <c r="K13" s="431" t="s">
        <v>83</v>
      </c>
      <c r="L13" s="67">
        <f t="shared" si="1"/>
        <v>394</v>
      </c>
      <c r="M13" s="26">
        <f t="shared" si="1"/>
        <v>233.2154825146483</v>
      </c>
      <c r="N13" s="67">
        <f t="shared" si="1"/>
        <v>233.2154825146483</v>
      </c>
      <c r="O13" s="148">
        <f t="shared" si="1"/>
        <v>219.77825625039981</v>
      </c>
      <c r="P13" s="115"/>
      <c r="Q13" s="290"/>
      <c r="R13" s="115"/>
      <c r="S13" s="119"/>
      <c r="U13" s="431" t="s">
        <v>83</v>
      </c>
      <c r="V13" s="44"/>
      <c r="W13" s="26">
        <f>M13</f>
        <v>233.2154825146483</v>
      </c>
      <c r="X13" s="26">
        <f>O13</f>
        <v>219.77825625039981</v>
      </c>
      <c r="Y13" s="35"/>
      <c r="Z13" s="341"/>
      <c r="AA13" s="24"/>
    </row>
    <row r="14" spans="3:27" ht="14.65" thickBot="1" x14ac:dyDescent="0.5">
      <c r="C14" s="25"/>
      <c r="D14" s="202" t="s">
        <v>19</v>
      </c>
      <c r="E14" s="137" t="s">
        <v>282</v>
      </c>
      <c r="F14" s="204">
        <v>40.6</v>
      </c>
      <c r="G14" s="366">
        <f>'Learning rates'!U97</f>
        <v>28.018868337129071</v>
      </c>
      <c r="H14" s="488">
        <f t="shared" si="0"/>
        <v>28.018868337129071</v>
      </c>
      <c r="I14" s="43">
        <f>'Learning rates'!U112</f>
        <v>26.404499216114374</v>
      </c>
      <c r="K14" s="431" t="s">
        <v>14</v>
      </c>
      <c r="L14" s="67">
        <f t="shared" si="1"/>
        <v>58</v>
      </c>
      <c r="M14" s="26">
        <f t="shared" si="1"/>
        <v>40.026954767327233</v>
      </c>
      <c r="N14" s="67">
        <f t="shared" si="1"/>
        <v>20.013477383663616</v>
      </c>
      <c r="O14" s="148">
        <f t="shared" si="1"/>
        <v>18.860356582938838</v>
      </c>
      <c r="P14" s="115"/>
      <c r="Q14" s="290"/>
      <c r="R14" s="115"/>
      <c r="S14" s="119"/>
      <c r="U14" s="431" t="s">
        <v>14</v>
      </c>
      <c r="V14" s="44"/>
      <c r="W14" s="26">
        <f>N14</f>
        <v>20.013477383663616</v>
      </c>
      <c r="X14" s="26">
        <f>O14</f>
        <v>18.860356582938838</v>
      </c>
      <c r="Y14" s="35"/>
      <c r="Z14" s="341"/>
      <c r="AA14" s="24"/>
    </row>
    <row r="15" spans="3:27" ht="14.65" thickBot="1" x14ac:dyDescent="0.5">
      <c r="C15" s="25"/>
      <c r="D15" s="202" t="s">
        <v>18</v>
      </c>
      <c r="E15" s="137" t="s">
        <v>282</v>
      </c>
      <c r="F15" s="204">
        <v>34.799999999999997</v>
      </c>
      <c r="G15" s="366">
        <f>'Learning rates'!P97</f>
        <v>24.016172860396342</v>
      </c>
      <c r="H15" s="488">
        <f t="shared" si="0"/>
        <v>24.016172860396342</v>
      </c>
      <c r="I15" s="43">
        <f>'Learning rates'!P112</f>
        <v>22.632427899526601</v>
      </c>
      <c r="K15" s="525" t="s">
        <v>11</v>
      </c>
      <c r="L15" s="526">
        <f>SUM(L16:L17)</f>
        <v>441</v>
      </c>
      <c r="M15" s="527">
        <f>SUM(M16:M17)</f>
        <v>304.3428802136433</v>
      </c>
      <c r="N15" s="540">
        <f>SUM(N16:N17)</f>
        <v>195.06871769567425</v>
      </c>
      <c r="O15" s="537">
        <f>SUM(O16:O17)</f>
        <v>183.82940172706586</v>
      </c>
      <c r="P15" s="530">
        <f>(L15*$L$64*$L$67)/P$8*1000000</f>
        <v>7.9204488701705236</v>
      </c>
      <c r="Q15" s="531">
        <f>(M15*$M$64*$M$67)/Q$8*1000000</f>
        <v>5.2459463034521949</v>
      </c>
      <c r="R15" s="530">
        <f>(N15*$M$64*$M$67)/R$8*1000000</f>
        <v>2.6381843706938959</v>
      </c>
      <c r="S15" s="532">
        <f>(O15*$M$64*$M$67)/S$8*1000000</f>
        <v>2.4861795383663878</v>
      </c>
      <c r="U15" s="34"/>
      <c r="V15" s="44"/>
      <c r="W15" s="26"/>
      <c r="X15" s="26"/>
      <c r="Y15" s="35"/>
      <c r="Z15" s="341"/>
      <c r="AA15" s="24"/>
    </row>
    <row r="16" spans="3:27" ht="15.75" customHeight="1" thickBot="1" x14ac:dyDescent="0.5">
      <c r="C16" s="25"/>
      <c r="D16" s="202" t="s">
        <v>91</v>
      </c>
      <c r="E16" s="137" t="s">
        <v>282</v>
      </c>
      <c r="F16" s="218">
        <v>34.799999999999997</v>
      </c>
      <c r="G16" s="366">
        <f>'Learning rates'!V97</f>
        <v>24.016172860396342</v>
      </c>
      <c r="H16" s="452">
        <f t="shared" si="0"/>
        <v>24.016172860396342</v>
      </c>
      <c r="I16" s="43">
        <f>'Learning rates'!V112</f>
        <v>22.632427899526601</v>
      </c>
      <c r="K16" s="431" t="s">
        <v>69</v>
      </c>
      <c r="L16" s="67">
        <f t="shared" ref="L16:O17" si="2">F7</f>
        <v>325</v>
      </c>
      <c r="M16" s="26">
        <f t="shared" si="2"/>
        <v>224.28897067898882</v>
      </c>
      <c r="N16" s="67">
        <f t="shared" si="2"/>
        <v>147.03237175750002</v>
      </c>
      <c r="O16" s="148">
        <f t="shared" si="2"/>
        <v>138.56077619201031</v>
      </c>
      <c r="P16" s="115"/>
      <c r="Q16" s="290"/>
      <c r="R16" s="115"/>
      <c r="S16" s="119"/>
      <c r="T16" s="90"/>
      <c r="U16" s="525" t="s">
        <v>260</v>
      </c>
      <c r="V16" s="550">
        <f>SUM(V17:V19)</f>
        <v>1254</v>
      </c>
      <c r="W16" s="527">
        <f>SUM(W17:W19)</f>
        <v>940.5</v>
      </c>
      <c r="X16" s="527">
        <f>SUM(X17:X19)</f>
        <v>456.99541033348135</v>
      </c>
      <c r="Y16" s="554">
        <f>V16*$M$64*$M$67*1000000/Y$8</f>
        <v>21.615148873898818</v>
      </c>
      <c r="Z16" s="531">
        <f>W16*$M$64*$M$67*1000000/Z$8</f>
        <v>12.719683760409685</v>
      </c>
      <c r="AA16" s="532">
        <f>X16*$M$64*$M$67*1000000/AA$8</f>
        <v>6.1805817112180153</v>
      </c>
    </row>
    <row r="17" spans="3:32" ht="14.65" thickBot="1" x14ac:dyDescent="0.5">
      <c r="C17" s="25"/>
      <c r="F17" s="493"/>
      <c r="G17" s="35"/>
      <c r="H17" s="31"/>
      <c r="I17" s="31"/>
      <c r="K17" s="375" t="s">
        <v>14</v>
      </c>
      <c r="L17" s="67">
        <f t="shared" si="2"/>
        <v>116</v>
      </c>
      <c r="M17" s="26">
        <f t="shared" si="2"/>
        <v>80.053909534654466</v>
      </c>
      <c r="N17" s="67">
        <f t="shared" si="2"/>
        <v>48.036345938174229</v>
      </c>
      <c r="O17" s="148">
        <f t="shared" si="2"/>
        <v>45.268625535055556</v>
      </c>
      <c r="P17" s="116"/>
      <c r="Q17" s="117"/>
      <c r="R17" s="116"/>
      <c r="S17" s="70"/>
      <c r="U17" s="34" t="s">
        <v>12</v>
      </c>
      <c r="V17" s="44">
        <f t="shared" ref="V17:X19" si="3">G34</f>
        <v>720</v>
      </c>
      <c r="W17" s="26">
        <f t="shared" si="3"/>
        <v>540</v>
      </c>
      <c r="X17" s="26">
        <f t="shared" si="3"/>
        <v>249.1327280177654</v>
      </c>
      <c r="Y17" s="52"/>
      <c r="Z17" s="141"/>
      <c r="AA17" s="142"/>
      <c r="AF17" s="90"/>
    </row>
    <row r="18" spans="3:32" ht="16.5" customHeight="1" thickBot="1" x14ac:dyDescent="0.5">
      <c r="C18" s="25"/>
      <c r="D18" s="203" t="s">
        <v>92</v>
      </c>
      <c r="E18" s="134" t="s">
        <v>282</v>
      </c>
      <c r="F18" s="204">
        <v>139</v>
      </c>
      <c r="G18" s="366">
        <f>'Learning rates'!AB97</f>
        <v>139</v>
      </c>
      <c r="H18" s="455">
        <f>G18</f>
        <v>139</v>
      </c>
      <c r="I18" s="43">
        <f>'Learning rates'!AB112</f>
        <v>139</v>
      </c>
      <c r="K18" s="433" t="s">
        <v>73</v>
      </c>
      <c r="L18" s="441">
        <f>L15+L11</f>
        <v>1659</v>
      </c>
      <c r="M18" s="437">
        <f>M15+M11</f>
        <v>1046.5333028215014</v>
      </c>
      <c r="N18" s="617">
        <f>N15+N11</f>
        <v>917.24566291986889</v>
      </c>
      <c r="O18" s="523">
        <f>O15+O11</f>
        <v>842.39191597823174</v>
      </c>
      <c r="P18" s="439">
        <f>(L18*$L$64*$L$67)/P$8*1000000</f>
        <v>29.795974321117683</v>
      </c>
      <c r="Q18" s="440">
        <f>(M18*$M$64*$M$67)/Q$8*1000000</f>
        <v>18.039053542248624</v>
      </c>
      <c r="R18" s="439">
        <f>(N18*$M$64*$M$67)/R$8*1000000</f>
        <v>12.405183161029319</v>
      </c>
      <c r="S18" s="547">
        <f>(O18*$M$64*$M$67)/S$8*1000000</f>
        <v>11.392832295128885</v>
      </c>
      <c r="U18" s="34" t="s">
        <v>0</v>
      </c>
      <c r="V18" s="44">
        <f t="shared" si="3"/>
        <v>470</v>
      </c>
      <c r="W18" s="26">
        <f t="shared" si="3"/>
        <v>352.5</v>
      </c>
      <c r="X18" s="26">
        <f t="shared" si="3"/>
        <v>162.6283085671524</v>
      </c>
      <c r="Y18" s="52"/>
      <c r="Z18" s="141"/>
      <c r="AA18" s="142"/>
    </row>
    <row r="19" spans="3:32" ht="14.65" thickBot="1" x14ac:dyDescent="0.5">
      <c r="C19" s="25"/>
      <c r="D19" s="967" t="s">
        <v>52</v>
      </c>
      <c r="E19" s="137" t="s">
        <v>296</v>
      </c>
      <c r="F19" s="207">
        <v>250</v>
      </c>
      <c r="G19" s="366">
        <f>G20*F50/1000</f>
        <v>153.29988272264839</v>
      </c>
      <c r="H19" s="488">
        <f>H20*F51/1000</f>
        <v>136.79629759981694</v>
      </c>
      <c r="I19" s="43">
        <f>I20*F52/1000</f>
        <v>126.71401533684852</v>
      </c>
      <c r="K19" s="434"/>
      <c r="L19" s="67"/>
      <c r="M19" s="423"/>
      <c r="N19" s="616"/>
      <c r="O19" s="424"/>
      <c r="P19" s="112"/>
      <c r="Q19" s="118"/>
      <c r="R19" s="112"/>
      <c r="S19" s="114"/>
      <c r="U19" s="40" t="s">
        <v>100</v>
      </c>
      <c r="V19" s="44">
        <f t="shared" si="3"/>
        <v>64</v>
      </c>
      <c r="W19" s="26">
        <f t="shared" si="3"/>
        <v>48</v>
      </c>
      <c r="X19" s="26">
        <f t="shared" si="3"/>
        <v>45.23437374856357</v>
      </c>
      <c r="Y19" s="52"/>
      <c r="Z19" s="141"/>
      <c r="AA19" s="142"/>
    </row>
    <row r="20" spans="3:32" ht="14.65" thickBot="1" x14ac:dyDescent="0.5">
      <c r="C20" s="25"/>
      <c r="D20" s="968"/>
      <c r="E20" s="134" t="s">
        <v>247</v>
      </c>
      <c r="F20" s="96">
        <f>F19/(F49/1000)</f>
        <v>0.10575743474766276</v>
      </c>
      <c r="G20" s="373">
        <v>0.1</v>
      </c>
      <c r="H20" s="96">
        <f>G20</f>
        <v>0.1</v>
      </c>
      <c r="I20" s="96">
        <v>0.1</v>
      </c>
      <c r="K20" s="525" t="s">
        <v>225</v>
      </c>
      <c r="L20" s="526">
        <f>114*(F10+F11)/1000</f>
        <v>210.9</v>
      </c>
      <c r="M20" s="527">
        <f>114*(G10+G11)/1000</f>
        <v>145.54628897291917</v>
      </c>
      <c r="N20" s="526">
        <f>86*(H10+H11)/1000</f>
        <v>109.79807764623726</v>
      </c>
      <c r="O20" s="528">
        <f>86*(I10+I11)/1000</f>
        <v>103.47181835674373</v>
      </c>
      <c r="P20" s="530">
        <f>(L20*$L$64*$L$67)/P$8*1000000</f>
        <v>3.7878065004965151</v>
      </c>
      <c r="Q20" s="531">
        <f t="shared" ref="Q20:S21" si="4">(M20*$M$64*$M$67)/Q$8*1000000</f>
        <v>2.5087756811747566</v>
      </c>
      <c r="R20" s="530">
        <f t="shared" si="4"/>
        <v>1.484951435577933</v>
      </c>
      <c r="S20" s="532">
        <f t="shared" si="4"/>
        <v>1.3993926715707965</v>
      </c>
      <c r="U20" s="558" t="s">
        <v>73</v>
      </c>
      <c r="V20" s="630">
        <f>SUM(V17:V19,V11)</f>
        <v>2414</v>
      </c>
      <c r="W20" s="437">
        <f>SUM(W17:W19,W11)</f>
        <v>1662.6769452241947</v>
      </c>
      <c r="X20" s="437">
        <f>SUM(X17:X19,X11)</f>
        <v>1115.5579245846473</v>
      </c>
      <c r="Y20" s="555">
        <f>SUM(Y11:Y19)</f>
        <v>41.610023430296437</v>
      </c>
      <c r="Z20" s="440">
        <f>SUM(Z11:Z19)</f>
        <v>22.486682550745108</v>
      </c>
      <c r="AA20" s="442">
        <f>SUM(AA11:AA19)</f>
        <v>15.087234467980512</v>
      </c>
    </row>
    <row r="21" spans="3:32" ht="14.65" thickBot="1" x14ac:dyDescent="0.5">
      <c r="C21" s="25"/>
      <c r="F21" s="341"/>
      <c r="G21" s="341"/>
      <c r="H21" s="341"/>
      <c r="I21" s="493"/>
      <c r="K21" s="433" t="s">
        <v>73</v>
      </c>
      <c r="L21" s="441">
        <f>L20+L18</f>
        <v>1869.9</v>
      </c>
      <c r="M21" s="438">
        <f>SUM(M18:M20)</f>
        <v>1192.0795917944206</v>
      </c>
      <c r="N21" s="617">
        <f>SUM(N20,N18)</f>
        <v>1027.0437405661062</v>
      </c>
      <c r="O21" s="523">
        <f>SUM(O18:O20)</f>
        <v>945.86373433497545</v>
      </c>
      <c r="P21" s="439">
        <f>(L21*$L$64*$L$67)/P$8*1000000</f>
        <v>33.583780821614198</v>
      </c>
      <c r="Q21" s="440">
        <f t="shared" si="4"/>
        <v>20.547829223423388</v>
      </c>
      <c r="R21" s="439">
        <f t="shared" si="4"/>
        <v>13.89013459660725</v>
      </c>
      <c r="S21" s="442">
        <f t="shared" si="4"/>
        <v>12.792224966699679</v>
      </c>
      <c r="U21" s="32"/>
      <c r="V21" s="34"/>
      <c r="Y21" s="32"/>
      <c r="Z21" s="105"/>
      <c r="AA21" s="189"/>
    </row>
    <row r="22" spans="3:32" ht="19.5" customHeight="1" thickBot="1" x14ac:dyDescent="0.5">
      <c r="C22" s="25"/>
      <c r="D22" s="604" t="s">
        <v>246</v>
      </c>
      <c r="E22" s="134" t="s">
        <v>283</v>
      </c>
      <c r="F22" s="320">
        <v>34.700000000000003</v>
      </c>
      <c r="G22" s="515">
        <f>'Learning rates'!W97</f>
        <v>17.339328059297792</v>
      </c>
      <c r="H22" s="515">
        <f>G22</f>
        <v>17.339328059297792</v>
      </c>
      <c r="I22" s="515">
        <f>'Learning rates'!W112</f>
        <v>15.526665034212831</v>
      </c>
      <c r="K22" s="432"/>
      <c r="L22" s="67"/>
      <c r="M22" s="423"/>
      <c r="N22" s="616"/>
      <c r="O22" s="424"/>
      <c r="P22" s="115"/>
      <c r="Q22" s="290"/>
      <c r="R22" s="115"/>
      <c r="S22" s="119"/>
      <c r="U22" s="539" t="s">
        <v>261</v>
      </c>
      <c r="V22" s="550">
        <f>G18+G20*V16</f>
        <v>264.39999999999998</v>
      </c>
      <c r="W22" s="527">
        <f>H18+H20*W20</f>
        <v>305.26769452241945</v>
      </c>
      <c r="X22" s="528">
        <f>I18+I20*X20</f>
        <v>250.55579245846474</v>
      </c>
      <c r="Y22" s="554">
        <f>V22*$M$64*$M$67*1000000/Y$8</f>
        <v>4.5574524419926998</v>
      </c>
      <c r="Z22" s="531">
        <f>W22*$M$64*$M$67*1000000/Z$8</f>
        <v>4.1285577209936459</v>
      </c>
      <c r="AA22" s="532">
        <f>X22*$M$64*$M$67*1000000/AA$8</f>
        <v>3.388612912717186</v>
      </c>
    </row>
    <row r="23" spans="3:32" ht="15.75" customHeight="1" thickBot="1" x14ac:dyDescent="0.5">
      <c r="C23" s="25"/>
      <c r="D23" s="483" t="s">
        <v>278</v>
      </c>
      <c r="E23" s="137" t="s">
        <v>283</v>
      </c>
      <c r="F23" s="781">
        <v>17.3</v>
      </c>
      <c r="G23" s="782">
        <f>'Learning rates'!Z97</f>
        <v>8.6446794070850697</v>
      </c>
      <c r="H23" s="781">
        <f>G23/2</f>
        <v>4.3223397035425348</v>
      </c>
      <c r="I23" s="783">
        <f>'Learning rates'!Z112/2</f>
        <v>3.8704799004593951</v>
      </c>
      <c r="K23" s="525" t="s">
        <v>226</v>
      </c>
      <c r="L23" s="526">
        <f>60*(F12+F11)/1000+SUM(F13:F16)</f>
        <v>494</v>
      </c>
      <c r="M23" s="527">
        <f>60*(G12+G11)/1000+SUM(G13:G16)</f>
        <v>340.91923543206303</v>
      </c>
      <c r="N23" s="526">
        <f>60*(H12+H11)/1000+SUM(H13:H16)</f>
        <v>340.91923543206303</v>
      </c>
      <c r="O23" s="528">
        <f>60*(I12+I11)/1000+SUM(I13:I16)</f>
        <v>321.2764190335098</v>
      </c>
      <c r="P23" s="530">
        <f>(L23*$L$64*$L$67)/P$8*1000000</f>
        <v>8.8723395507125584</v>
      </c>
      <c r="Q23" s="531">
        <f t="shared" ref="Q23:S24" si="5">(M23*$M$64*$M$67)/Q$8*1000000</f>
        <v>5.8764115054543877</v>
      </c>
      <c r="R23" s="530">
        <f t="shared" si="5"/>
        <v>4.6107228735103654</v>
      </c>
      <c r="S23" s="532">
        <f t="shared" si="5"/>
        <v>4.3450658689878914</v>
      </c>
      <c r="U23" s="558" t="s">
        <v>73</v>
      </c>
      <c r="V23" s="630">
        <f t="shared" ref="V23:AA23" si="6">SUM(V20:V22)</f>
        <v>2678.4</v>
      </c>
      <c r="W23" s="437">
        <f t="shared" si="6"/>
        <v>1967.944639746614</v>
      </c>
      <c r="X23" s="635">
        <f t="shared" si="6"/>
        <v>1366.113717043112</v>
      </c>
      <c r="Y23" s="630">
        <f t="shared" si="6"/>
        <v>46.167475872289138</v>
      </c>
      <c r="Z23" s="440">
        <f t="shared" si="6"/>
        <v>26.615240271738756</v>
      </c>
      <c r="AA23" s="442">
        <f t="shared" si="6"/>
        <v>18.475847380697697</v>
      </c>
    </row>
    <row r="24" spans="3:32" ht="15.75" customHeight="1" thickBot="1" x14ac:dyDescent="0.5">
      <c r="C24" s="25"/>
      <c r="D24" s="586" t="s">
        <v>281</v>
      </c>
      <c r="E24" s="135" t="s">
        <v>114</v>
      </c>
      <c r="F24" s="605">
        <f>'Learning rates'!Y81</f>
        <v>0.02</v>
      </c>
      <c r="G24" s="606">
        <f>'Learning rates'!Y97</f>
        <v>0.02</v>
      </c>
      <c r="H24" s="605">
        <f>G24</f>
        <v>0.02</v>
      </c>
      <c r="I24" s="605">
        <f>'Learning rates'!Y112</f>
        <v>0.02</v>
      </c>
      <c r="K24" s="524" t="s">
        <v>73</v>
      </c>
      <c r="L24" s="518">
        <f>SUM(L21:L23)</f>
        <v>2363.9</v>
      </c>
      <c r="M24" s="517">
        <f>M11+M15+M20+M23</f>
        <v>1532.9988272264836</v>
      </c>
      <c r="N24" s="518">
        <f>SUM(N23,N21)</f>
        <v>1367.9629759981692</v>
      </c>
      <c r="O24" s="522">
        <f>O11+O15+O20+O23</f>
        <v>1267.1401533684852</v>
      </c>
      <c r="P24" s="439">
        <f>(L24*$L$64*$L$67)/P$8*1000000</f>
        <v>42.456120372326758</v>
      </c>
      <c r="Q24" s="440">
        <f t="shared" si="5"/>
        <v>26.424240728877773</v>
      </c>
      <c r="R24" s="439">
        <f t="shared" si="5"/>
        <v>18.500857470117616</v>
      </c>
      <c r="S24" s="442">
        <f t="shared" si="5"/>
        <v>17.137290835687569</v>
      </c>
      <c r="T24" s="90"/>
      <c r="U24" s="33"/>
      <c r="V24" s="33"/>
      <c r="W24" s="33"/>
      <c r="X24" s="33"/>
      <c r="Y24" s="33"/>
      <c r="Z24" s="33"/>
      <c r="AA24" s="48"/>
    </row>
    <row r="25" spans="3:32" ht="15.75" customHeight="1" thickBot="1" x14ac:dyDescent="0.5">
      <c r="C25" s="25"/>
      <c r="D25" s="587"/>
      <c r="E25" s="137" t="s">
        <v>283</v>
      </c>
      <c r="F25" s="320">
        <f>F24*SUM(F7:F8)</f>
        <v>8.82</v>
      </c>
      <c r="G25" s="607">
        <f>G24*SUM(G7:G8)</f>
        <v>6.0868576042728657</v>
      </c>
      <c r="H25" s="13">
        <f>H24*SUM(H7:H8)</f>
        <v>3.9013743539134853</v>
      </c>
      <c r="I25" s="13">
        <f>I24*SUM(I7:I8)</f>
        <v>3.6765880345413171</v>
      </c>
      <c r="K25" s="432"/>
      <c r="L25" s="595"/>
      <c r="M25" s="596"/>
      <c r="N25" s="618"/>
      <c r="O25" s="597"/>
      <c r="P25" s="598"/>
      <c r="Q25" s="123"/>
      <c r="R25" s="598"/>
      <c r="S25" s="599"/>
      <c r="U25" s="45"/>
      <c r="V25" s="633" t="s">
        <v>262</v>
      </c>
      <c r="W25" s="634" t="s">
        <v>262</v>
      </c>
      <c r="X25" s="634" t="s">
        <v>262</v>
      </c>
      <c r="Y25" s="634" t="s">
        <v>262</v>
      </c>
      <c r="Z25" s="634" t="s">
        <v>262</v>
      </c>
      <c r="AA25" s="186" t="s">
        <v>262</v>
      </c>
    </row>
    <row r="26" spans="3:32" ht="15.75" customHeight="1" thickBot="1" x14ac:dyDescent="0.5">
      <c r="C26" s="25"/>
      <c r="D26" s="587" t="s">
        <v>280</v>
      </c>
      <c r="E26" s="137" t="s">
        <v>283</v>
      </c>
      <c r="F26" s="320">
        <v>14.1</v>
      </c>
      <c r="G26" s="670">
        <f>'Learning rates'!X97</f>
        <v>8.7576216551272896</v>
      </c>
      <c r="H26" s="13">
        <f>G26</f>
        <v>8.7576216551272896</v>
      </c>
      <c r="I26" s="671">
        <f>'Learning rates'!X112</f>
        <v>8.25303189784462</v>
      </c>
      <c r="K26" s="525" t="s">
        <v>196</v>
      </c>
      <c r="L26" s="526">
        <f>SUM(F18:F19)</f>
        <v>389</v>
      </c>
      <c r="M26" s="527">
        <f>SUM(G18:G19)</f>
        <v>292.29988272264836</v>
      </c>
      <c r="N26" s="526">
        <f>SUM(H18:H19)</f>
        <v>275.79629759981697</v>
      </c>
      <c r="O26" s="528">
        <f>SUM(I18:I19)</f>
        <v>265.71401533684855</v>
      </c>
      <c r="P26" s="530">
        <f>(L26*$L$64*$L$67)/P$8*1000000</f>
        <v>6.9865183911481488</v>
      </c>
      <c r="Q26" s="531">
        <f t="shared" ref="Q26:S27" si="7">(M26*$M$64*$M$67)/Q$8*1000000</f>
        <v>5.0383616274905965</v>
      </c>
      <c r="R26" s="530">
        <f t="shared" si="7"/>
        <v>3.7299752129308965</v>
      </c>
      <c r="S26" s="532">
        <f t="shared" si="7"/>
        <v>3.5936185494878923</v>
      </c>
      <c r="U26" s="542" t="s">
        <v>71</v>
      </c>
      <c r="V26" s="554">
        <f>G22+G23+'Learning rates'!Y97*V16</f>
        <v>51.064007466382861</v>
      </c>
      <c r="W26" s="531">
        <f>H24*W16+H22+H23</f>
        <v>40.471667762840319</v>
      </c>
      <c r="X26" s="531">
        <f>I24*X16+I22+I23</f>
        <v>28.53705314134185</v>
      </c>
      <c r="Y26" s="554">
        <f>V26*1000000/Y$8</f>
        <v>11.429852150233428</v>
      </c>
      <c r="Z26" s="531">
        <f>W26*1000000/Z$8</f>
        <v>7.1077744578223241</v>
      </c>
      <c r="AA26" s="532">
        <f>X26*1000000/AA$8</f>
        <v>5.0117761049072449</v>
      </c>
    </row>
    <row r="27" spans="3:32" ht="15.75" customHeight="1" thickBot="1" x14ac:dyDescent="0.5">
      <c r="C27" s="25"/>
      <c r="D27" s="136" t="s">
        <v>251</v>
      </c>
      <c r="E27" s="137" t="s">
        <v>283</v>
      </c>
      <c r="F27" s="31">
        <v>11.7</v>
      </c>
      <c r="G27" s="671">
        <f>'Learning rates'!AA97</f>
        <v>7.4475721869650231</v>
      </c>
      <c r="H27" s="672">
        <f>G27</f>
        <v>7.4475721869650231</v>
      </c>
      <c r="I27" s="671">
        <f>'Learning rates'!AA112</f>
        <v>7.0184638296788071</v>
      </c>
      <c r="K27" s="524" t="s">
        <v>222</v>
      </c>
      <c r="L27" s="518">
        <f>SUM(L24:L26)</f>
        <v>2752.9</v>
      </c>
      <c r="M27" s="517">
        <f>SUM(M24:M26)</f>
        <v>1825.298709949132</v>
      </c>
      <c r="N27" s="518">
        <f>SUM(N26,N24)</f>
        <v>1643.7592735979861</v>
      </c>
      <c r="O27" s="522">
        <f>SUM(O24:O26)</f>
        <v>1532.8541687053339</v>
      </c>
      <c r="P27" s="519">
        <f>(L27*$L$64*$L$67)/P$8*1000000</f>
        <v>49.442638763474903</v>
      </c>
      <c r="Q27" s="520">
        <f t="shared" si="7"/>
        <v>31.462602356368368</v>
      </c>
      <c r="R27" s="519">
        <f t="shared" si="7"/>
        <v>22.230832683048511</v>
      </c>
      <c r="S27" s="529">
        <f t="shared" si="7"/>
        <v>20.730909385175462</v>
      </c>
      <c r="U27" s="524" t="s">
        <v>221</v>
      </c>
      <c r="V27" s="631"/>
      <c r="W27" s="516"/>
      <c r="X27" s="538"/>
      <c r="Y27" s="631">
        <f>Y23+Y26</f>
        <v>57.597328022522568</v>
      </c>
      <c r="Z27" s="520">
        <f>SUM(Z26,Z23)</f>
        <v>33.723014729561079</v>
      </c>
      <c r="AA27" s="529">
        <f>SUM(AA26,AA23)</f>
        <v>23.487623485604942</v>
      </c>
    </row>
    <row r="28" spans="3:32" ht="15.75" customHeight="1" thickBot="1" x14ac:dyDescent="0.5">
      <c r="C28" s="25"/>
      <c r="D28" s="136" t="s">
        <v>21</v>
      </c>
      <c r="E28" s="137" t="s">
        <v>22</v>
      </c>
      <c r="F28" s="317">
        <v>27</v>
      </c>
      <c r="G28" s="11">
        <v>30</v>
      </c>
      <c r="H28" s="454">
        <v>30</v>
      </c>
      <c r="I28" s="31">
        <v>30</v>
      </c>
      <c r="K28" s="34"/>
      <c r="L28" s="67"/>
      <c r="M28" s="26"/>
      <c r="N28" s="298"/>
      <c r="O28" s="148"/>
      <c r="P28" s="23"/>
      <c r="Q28" s="341"/>
      <c r="R28" s="23"/>
      <c r="S28" s="119"/>
      <c r="U28" s="6"/>
    </row>
    <row r="29" spans="3:32" ht="15.75" customHeight="1" thickBot="1" x14ac:dyDescent="0.5">
      <c r="C29" s="25"/>
      <c r="D29" s="136" t="s">
        <v>23</v>
      </c>
      <c r="E29" s="137" t="s">
        <v>29</v>
      </c>
      <c r="F29" s="318">
        <v>0.06</v>
      </c>
      <c r="G29" s="322">
        <v>0.06</v>
      </c>
      <c r="H29" s="456">
        <v>0.06</v>
      </c>
      <c r="I29" s="53">
        <v>0.06</v>
      </c>
      <c r="K29" s="431"/>
      <c r="L29" s="422" t="s">
        <v>41</v>
      </c>
      <c r="M29" s="423" t="s">
        <v>41</v>
      </c>
      <c r="N29" s="422" t="s">
        <v>41</v>
      </c>
      <c r="O29" s="424" t="s">
        <v>41</v>
      </c>
      <c r="P29" s="115"/>
      <c r="Q29" s="290"/>
      <c r="R29" s="115"/>
      <c r="S29" s="119"/>
    </row>
    <row r="30" spans="3:32" ht="15.75" customHeight="1" thickBot="1" x14ac:dyDescent="0.5">
      <c r="C30" s="25"/>
      <c r="D30" s="136" t="s">
        <v>65</v>
      </c>
      <c r="E30" s="137" t="s">
        <v>29</v>
      </c>
      <c r="F30" s="318">
        <v>0.51</v>
      </c>
      <c r="G30" s="322">
        <v>0.51</v>
      </c>
      <c r="H30" s="456">
        <v>0.65</v>
      </c>
      <c r="I30" s="53">
        <v>0.65</v>
      </c>
      <c r="K30" s="539" t="s">
        <v>71</v>
      </c>
      <c r="L30" s="540">
        <f>SUM(F22:F23,F25,F26,F27)</f>
        <v>86.62</v>
      </c>
      <c r="M30" s="540">
        <f>SUM(G22:G23,G25,G26,G27)</f>
        <v>48.276058912748042</v>
      </c>
      <c r="N30" s="540">
        <f>SUM(H22:H23,H25,H26,H27)</f>
        <v>41.768235958846127</v>
      </c>
      <c r="O30" s="551">
        <f>SUM(I22:I23,I25,I26,I27)</f>
        <v>38.345228696736974</v>
      </c>
      <c r="P30" s="530">
        <f>L30*1000000/P$8</f>
        <v>19.388485988002508</v>
      </c>
      <c r="Q30" s="531">
        <f>M30*1000000/Q$8</f>
        <v>10.80581495942968</v>
      </c>
      <c r="R30" s="530">
        <f>N30*1000000/R$8</f>
        <v>7.3354822548026224</v>
      </c>
      <c r="S30" s="532">
        <f>O30*1000000/S$8</f>
        <v>6.7343218645481171</v>
      </c>
    </row>
    <row r="31" spans="3:32" ht="15.75" customHeight="1" thickBot="1" x14ac:dyDescent="0.5">
      <c r="C31" s="25"/>
      <c r="F31" s="588"/>
      <c r="G31" s="588"/>
      <c r="H31" s="588"/>
      <c r="I31" s="175"/>
      <c r="K31" s="524" t="s">
        <v>221</v>
      </c>
      <c r="L31" s="534"/>
      <c r="M31" s="27"/>
      <c r="N31" s="619"/>
      <c r="O31" s="535"/>
      <c r="P31" s="519">
        <f>SUM(P27:P30)</f>
        <v>68.831124751477404</v>
      </c>
      <c r="Q31" s="520">
        <f>SUM(Q27:Q30)</f>
        <v>42.268417315798047</v>
      </c>
      <c r="R31" s="519">
        <f>SUM(R27:R30)</f>
        <v>29.566314937851132</v>
      </c>
      <c r="S31" s="529">
        <f>SUM(S27:S30)</f>
        <v>27.46523124972358</v>
      </c>
      <c r="U31" s="611"/>
      <c r="V31" s="612"/>
      <c r="W31" s="6"/>
    </row>
    <row r="32" spans="3:32" ht="15.75" customHeight="1" thickBot="1" x14ac:dyDescent="0.5">
      <c r="C32" s="25"/>
      <c r="D32">
        <f>F5/F4</f>
        <v>0.51436031331592691</v>
      </c>
      <c r="G32" s="223" t="s">
        <v>193</v>
      </c>
      <c r="H32" s="151">
        <v>2035</v>
      </c>
      <c r="I32" s="55">
        <v>2050</v>
      </c>
      <c r="J32" s="25"/>
      <c r="U32" s="610"/>
      <c r="V32" s="7"/>
    </row>
    <row r="33" spans="3:24" ht="31.5" customHeight="1" thickBot="1" x14ac:dyDescent="0.5">
      <c r="C33" s="25"/>
      <c r="G33" s="484" t="s">
        <v>8</v>
      </c>
      <c r="H33" s="485" t="s">
        <v>38</v>
      </c>
      <c r="I33" s="131" t="s">
        <v>38</v>
      </c>
      <c r="J33" s="25"/>
      <c r="L33" s="17">
        <f>SUM(L20,L23)</f>
        <v>704.9</v>
      </c>
      <c r="M33" s="17">
        <f>SUM(M23,M20)</f>
        <v>486.4655244049822</v>
      </c>
      <c r="O33" s="17">
        <f>SUM(O20,O23)</f>
        <v>424.74823739025351</v>
      </c>
      <c r="U33" s="33"/>
      <c r="W33" s="457"/>
    </row>
    <row r="34" spans="3:24" ht="20.25" customHeight="1" thickBot="1" x14ac:dyDescent="0.5">
      <c r="C34" s="25"/>
      <c r="D34" s="202" t="s">
        <v>171</v>
      </c>
      <c r="E34" s="135" t="s">
        <v>74</v>
      </c>
      <c r="G34" s="583">
        <f>0.72*1000</f>
        <v>720</v>
      </c>
      <c r="H34" s="56">
        <f>0.75*G34</f>
        <v>540</v>
      </c>
      <c r="I34" s="58">
        <f>'Learning rates'!$AD$112/'Learning rates'!$AD$97*Calculations!H34</f>
        <v>249.1327280177654</v>
      </c>
      <c r="J34" s="25"/>
      <c r="M34">
        <f>M33/L33</f>
        <v>0.69011990978150406</v>
      </c>
      <c r="U34" s="33"/>
      <c r="W34" s="457"/>
    </row>
    <row r="35" spans="3:24" ht="15.75" customHeight="1" thickBot="1" x14ac:dyDescent="0.5">
      <c r="C35" s="25"/>
      <c r="D35" s="217" t="s">
        <v>0</v>
      </c>
      <c r="E35" s="135" t="s">
        <v>74</v>
      </c>
      <c r="G35" s="585">
        <f>0.47*1000</f>
        <v>470</v>
      </c>
      <c r="H35" s="43">
        <f>0.75*G35</f>
        <v>352.5</v>
      </c>
      <c r="I35" s="43">
        <f>'Learning rates'!$AD$112/'Learning rates'!$AD$97*Calculations!H35</f>
        <v>162.6283085671524</v>
      </c>
      <c r="J35" s="385"/>
      <c r="M35" s="17"/>
      <c r="U35" s="33"/>
      <c r="V35" s="7"/>
    </row>
    <row r="36" spans="3:24" ht="15.75" customHeight="1" thickBot="1" x14ac:dyDescent="0.5">
      <c r="C36" s="25"/>
      <c r="D36" s="32" t="s">
        <v>14</v>
      </c>
      <c r="E36" s="135" t="s">
        <v>74</v>
      </c>
      <c r="G36" s="31">
        <f>0.064*1000</f>
        <v>64</v>
      </c>
      <c r="H36" s="31">
        <f>0.75*G36</f>
        <v>48</v>
      </c>
      <c r="I36" s="57">
        <f>(1-'Learning rates'!S119)*Calculations!H36</f>
        <v>45.23437374856357</v>
      </c>
      <c r="J36" s="385"/>
      <c r="U36" s="156"/>
      <c r="W36" s="457"/>
    </row>
    <row r="37" spans="3:24" ht="15.75" customHeight="1" thickBot="1" x14ac:dyDescent="0.5">
      <c r="C37" s="25"/>
      <c r="I37" s="25"/>
      <c r="J37" s="385"/>
      <c r="K37" s="25"/>
      <c r="L37" s="984" t="s">
        <v>214</v>
      </c>
      <c r="M37" s="985"/>
      <c r="N37" s="985"/>
      <c r="O37" s="985"/>
      <c r="P37" s="962" t="s">
        <v>25</v>
      </c>
      <c r="Q37" s="981"/>
      <c r="R37" s="981"/>
      <c r="S37" s="963"/>
      <c r="U37" s="33"/>
      <c r="V37" s="33"/>
      <c r="W37" s="33"/>
      <c r="X37" s="33"/>
    </row>
    <row r="38" spans="3:24" ht="15.75" customHeight="1" thickBot="1" x14ac:dyDescent="0.5">
      <c r="C38" s="25"/>
      <c r="D38" s="158" t="s">
        <v>241</v>
      </c>
      <c r="I38" s="637"/>
      <c r="J38" s="25"/>
      <c r="K38" s="38" t="s">
        <v>213</v>
      </c>
      <c r="L38" s="548" t="s">
        <v>27</v>
      </c>
      <c r="M38" s="490"/>
      <c r="N38" s="982"/>
      <c r="O38" s="983"/>
      <c r="P38" s="548" t="s">
        <v>27</v>
      </c>
      <c r="Q38" s="490"/>
      <c r="R38" s="982"/>
      <c r="S38" s="983"/>
      <c r="U38" s="33"/>
      <c r="V38" s="33"/>
    </row>
    <row r="39" spans="3:24" ht="15.75" customHeight="1" thickBot="1" x14ac:dyDescent="0.5">
      <c r="C39" s="25"/>
      <c r="D39" s="460" t="s">
        <v>242</v>
      </c>
      <c r="E39" s="465" t="s">
        <v>236</v>
      </c>
      <c r="F39" s="584">
        <v>48</v>
      </c>
      <c r="I39" s="25"/>
      <c r="J39" s="25"/>
      <c r="L39" s="549">
        <v>2022</v>
      </c>
      <c r="M39" s="490">
        <v>2035</v>
      </c>
      <c r="N39" s="101">
        <v>2035</v>
      </c>
      <c r="O39" s="602">
        <v>2050</v>
      </c>
      <c r="P39" s="549">
        <v>2022</v>
      </c>
      <c r="Q39" s="490">
        <v>2035</v>
      </c>
      <c r="R39" s="101">
        <v>2035</v>
      </c>
      <c r="S39" s="602">
        <v>2050</v>
      </c>
      <c r="U39" s="33"/>
      <c r="V39" s="33"/>
    </row>
    <row r="40" spans="3:24" ht="15.75" customHeight="1" thickBot="1" x14ac:dyDescent="0.5">
      <c r="C40" s="25"/>
      <c r="D40" s="461" t="s">
        <v>240</v>
      </c>
      <c r="E40" s="466" t="s">
        <v>236</v>
      </c>
      <c r="F40" s="24">
        <v>52</v>
      </c>
      <c r="I40" s="25"/>
      <c r="J40" s="25"/>
      <c r="L40" s="150" t="s">
        <v>8</v>
      </c>
      <c r="M40" s="290" t="s">
        <v>8</v>
      </c>
      <c r="N40" s="115" t="s">
        <v>38</v>
      </c>
      <c r="O40" s="119" t="s">
        <v>38</v>
      </c>
      <c r="P40" s="150" t="s">
        <v>8</v>
      </c>
      <c r="Q40" s="290" t="s">
        <v>8</v>
      </c>
      <c r="R40" s="115" t="s">
        <v>38</v>
      </c>
      <c r="S40" s="119" t="s">
        <v>38</v>
      </c>
      <c r="U40" s="33"/>
      <c r="V40" s="33"/>
    </row>
    <row r="41" spans="3:24" ht="15.75" customHeight="1" thickBot="1" x14ac:dyDescent="0.5">
      <c r="C41" s="25"/>
      <c r="D41" s="461" t="s">
        <v>237</v>
      </c>
      <c r="E41" s="466" t="s">
        <v>236</v>
      </c>
      <c r="F41" s="142">
        <f>29/87*Calculations!F40</f>
        <v>17.333333333333332</v>
      </c>
      <c r="I41" s="25"/>
      <c r="J41" s="25"/>
      <c r="K41" s="60" t="s">
        <v>254</v>
      </c>
      <c r="L41" s="549" t="s">
        <v>15</v>
      </c>
      <c r="M41" s="447" t="s">
        <v>15</v>
      </c>
      <c r="N41" s="443" t="s">
        <v>15</v>
      </c>
      <c r="O41" s="448" t="s">
        <v>15</v>
      </c>
      <c r="P41" s="553" t="s">
        <v>40</v>
      </c>
      <c r="Q41" s="545" t="s">
        <v>40</v>
      </c>
      <c r="R41" s="621" t="s">
        <v>40</v>
      </c>
      <c r="S41" s="546" t="s">
        <v>40</v>
      </c>
      <c r="U41" s="33"/>
      <c r="V41" s="33"/>
    </row>
    <row r="42" spans="3:24" ht="15.75" customHeight="1" thickBot="1" x14ac:dyDescent="0.5">
      <c r="C42" s="25"/>
      <c r="D42" s="461" t="s">
        <v>243</v>
      </c>
      <c r="E42" s="466" t="s">
        <v>236</v>
      </c>
      <c r="F42" s="142">
        <f>F40-F41</f>
        <v>34.666666666666671</v>
      </c>
      <c r="I42" s="25"/>
      <c r="J42" s="25"/>
      <c r="K42" s="525" t="s">
        <v>255</v>
      </c>
      <c r="L42" s="550">
        <f>L18</f>
        <v>1659</v>
      </c>
      <c r="M42" s="527">
        <f>M18</f>
        <v>1046.5333028215014</v>
      </c>
      <c r="N42" s="526">
        <f>N18</f>
        <v>917.24566291986889</v>
      </c>
      <c r="O42" s="528">
        <f>O18</f>
        <v>842.39191597823174</v>
      </c>
      <c r="P42" s="554">
        <f>(L42*$L$64*$L$67)/P$8*1000000</f>
        <v>29.795974321117683</v>
      </c>
      <c r="Q42" s="531">
        <f t="shared" ref="Q42:S43" si="8">(M42*$M$64*$M$67)/Q$8*1000000</f>
        <v>18.039053542248624</v>
      </c>
      <c r="R42" s="530">
        <f t="shared" si="8"/>
        <v>12.405183161029319</v>
      </c>
      <c r="S42" s="532">
        <f t="shared" si="8"/>
        <v>11.392832295128885</v>
      </c>
      <c r="U42" s="33"/>
      <c r="V42" s="177"/>
    </row>
    <row r="43" spans="3:24" ht="15.75" customHeight="1" thickBot="1" x14ac:dyDescent="0.5">
      <c r="C43" s="25"/>
      <c r="D43" s="461" t="s">
        <v>238</v>
      </c>
      <c r="E43" s="466" t="s">
        <v>29</v>
      </c>
      <c r="F43" s="463">
        <f>F42/100/(L11/100)</f>
        <v>2.8461959496442261E-2</v>
      </c>
      <c r="I43" s="25"/>
      <c r="J43" s="25"/>
      <c r="K43" s="542" t="s">
        <v>235</v>
      </c>
      <c r="L43" s="551">
        <f>L18/L24*L26</f>
        <v>273.00266508735558</v>
      </c>
      <c r="M43" s="536">
        <f>M18/M24*M26</f>
        <v>199.54455035918767</v>
      </c>
      <c r="N43" s="540">
        <f>N18/N24*N26</f>
        <v>184.92675771301586</v>
      </c>
      <c r="O43" s="537">
        <f>O18/O24*O26</f>
        <v>176.64607808918956</v>
      </c>
      <c r="P43" s="554">
        <f>(L43*$L$64*$L$67)/P$8*1000000</f>
        <v>4.9031828803734401</v>
      </c>
      <c r="Q43" s="531">
        <f t="shared" si="8"/>
        <v>3.4395415972799364</v>
      </c>
      <c r="R43" s="530">
        <f t="shared" si="8"/>
        <v>2.5010206028149544</v>
      </c>
      <c r="S43" s="532">
        <f t="shared" si="8"/>
        <v>2.3890295064445781</v>
      </c>
      <c r="U43" s="33"/>
      <c r="V43" s="177"/>
    </row>
    <row r="44" spans="3:24" ht="15.75" customHeight="1" thickBot="1" x14ac:dyDescent="0.5">
      <c r="C44" s="25"/>
      <c r="D44" s="462" t="s">
        <v>239</v>
      </c>
      <c r="E44" s="238" t="s">
        <v>29</v>
      </c>
      <c r="F44" s="464">
        <f>F40*10000/1000000/(L11/100)</f>
        <v>4.2692939244663386E-2</v>
      </c>
      <c r="I44" s="25"/>
      <c r="J44" s="25"/>
      <c r="K44" s="34"/>
      <c r="L44" s="431"/>
      <c r="M44" s="1"/>
      <c r="N44" s="414"/>
      <c r="O44" s="125"/>
      <c r="P44" s="431"/>
      <c r="Q44" s="25"/>
      <c r="R44" s="414"/>
      <c r="S44" s="125"/>
      <c r="U44" s="33"/>
      <c r="V44" s="33"/>
    </row>
    <row r="45" spans="3:24" ht="15.75" customHeight="1" thickBot="1" x14ac:dyDescent="0.5">
      <c r="C45" s="25"/>
      <c r="J45" s="25"/>
      <c r="K45" s="542" t="s">
        <v>71</v>
      </c>
      <c r="L45" s="551">
        <f>SUM(F22:F23)+'Learning rates'!Y81*SUM(Calculations!L16:L17)</f>
        <v>60.82</v>
      </c>
      <c r="M45" s="536">
        <f>SUM(G22:G23)+'Learning rates'!Y97*SUM(Calculations!M16:M17)</f>
        <v>32.070865070655728</v>
      </c>
      <c r="N45" s="540">
        <f>SUM(H22:H23)+'Learning rates'!Y97*SUM(Calculations!N16:N17)</f>
        <v>25.563042116753813</v>
      </c>
      <c r="O45" s="537">
        <f>SUM(I22:I23)+'Learning rates'!Y112*SUM(Calculations!O16:O17)</f>
        <v>23.073732969213545</v>
      </c>
      <c r="P45" s="554">
        <f>L45*1000000/P$8</f>
        <v>13.613573283194556</v>
      </c>
      <c r="Q45" s="531">
        <f>M45*1000000/Q$8</f>
        <v>7.1785444244461747</v>
      </c>
      <c r="R45" s="530">
        <f>N45*1000000/R$8</f>
        <v>4.4894699888924858</v>
      </c>
      <c r="S45" s="532">
        <f>O45*1000000/S$8</f>
        <v>4.052288895190296</v>
      </c>
      <c r="U45" s="33"/>
      <c r="V45" s="33"/>
    </row>
    <row r="46" spans="3:24" ht="15.75" customHeight="1" thickBot="1" x14ac:dyDescent="0.5">
      <c r="C46" s="25"/>
      <c r="I46" s="25"/>
      <c r="J46" s="25"/>
      <c r="K46" s="433" t="s">
        <v>221</v>
      </c>
      <c r="L46" s="552"/>
      <c r="M46" s="543"/>
      <c r="N46" s="620"/>
      <c r="O46" s="544"/>
      <c r="P46" s="555">
        <f>SUM(P42:P45)</f>
        <v>48.31273048468568</v>
      </c>
      <c r="Q46" s="440">
        <f>SUM(Q42:Q45)</f>
        <v>28.657139563974738</v>
      </c>
      <c r="R46" s="439">
        <f>SUM(R42:R45)</f>
        <v>19.395673752736759</v>
      </c>
      <c r="S46" s="442">
        <f>SUM(S42:S45)</f>
        <v>17.834150696763757</v>
      </c>
      <c r="U46" s="33"/>
      <c r="V46" s="33"/>
    </row>
    <row r="47" spans="3:24" ht="15.75" customHeight="1" thickBot="1" x14ac:dyDescent="0.5">
      <c r="C47" s="25"/>
      <c r="D47" s="459"/>
      <c r="E47" s="458"/>
      <c r="I47" s="25"/>
      <c r="J47" s="25"/>
      <c r="K47" s="25"/>
      <c r="L47" s="419"/>
      <c r="M47" s="419"/>
      <c r="N47" s="419"/>
      <c r="O47" s="419"/>
      <c r="P47" s="25"/>
      <c r="Q47" s="25"/>
      <c r="R47" s="25"/>
      <c r="S47" s="25"/>
      <c r="U47" s="33"/>
      <c r="V47" s="33"/>
    </row>
    <row r="48" spans="3:24" ht="15.75" customHeight="1" thickBot="1" x14ac:dyDescent="0.5">
      <c r="C48" s="25"/>
      <c r="D48" s="60" t="s">
        <v>245</v>
      </c>
      <c r="I48" s="25"/>
      <c r="J48" s="25"/>
      <c r="K48" s="60" t="s">
        <v>257</v>
      </c>
      <c r="L48" s="59" t="s">
        <v>47</v>
      </c>
      <c r="M48" s="59" t="s">
        <v>25</v>
      </c>
      <c r="N48" s="419"/>
      <c r="O48" s="419"/>
      <c r="P48" s="25"/>
      <c r="Q48" s="25"/>
      <c r="R48" s="25"/>
      <c r="S48" s="25"/>
      <c r="U48" s="33"/>
      <c r="V48" s="33"/>
    </row>
    <row r="49" spans="3:24" ht="15.75" customHeight="1" thickBot="1" x14ac:dyDescent="0.5">
      <c r="C49" s="25"/>
      <c r="D49" s="236" t="s">
        <v>244</v>
      </c>
      <c r="E49" s="393" t="s">
        <v>220</v>
      </c>
      <c r="F49" s="236">
        <f>L24*1000</f>
        <v>2363900</v>
      </c>
      <c r="I49" s="25"/>
      <c r="J49" s="25"/>
      <c r="K49" s="221" t="s">
        <v>232</v>
      </c>
      <c r="L49" s="356">
        <f>O18/O27</f>
        <v>0.54955776823161562</v>
      </c>
      <c r="M49" s="356">
        <f>S18/$S$31</f>
        <v>0.4148092616275913</v>
      </c>
      <c r="N49" s="419"/>
      <c r="O49" s="419"/>
      <c r="P49" s="25"/>
      <c r="Q49" s="25"/>
      <c r="R49" s="25"/>
      <c r="S49" s="25"/>
      <c r="U49" s="33"/>
      <c r="V49" s="33"/>
      <c r="W49" s="33"/>
      <c r="X49" s="33"/>
    </row>
    <row r="50" spans="3:24" ht="15.75" customHeight="1" thickBot="1" x14ac:dyDescent="0.5">
      <c r="C50" s="25"/>
      <c r="D50" s="32" t="s">
        <v>249</v>
      </c>
      <c r="E50" s="393" t="s">
        <v>220</v>
      </c>
      <c r="F50" s="41">
        <f>M24*1000</f>
        <v>1532998.8272264837</v>
      </c>
      <c r="I50" s="25"/>
      <c r="J50" s="25"/>
      <c r="K50" s="69" t="s">
        <v>207</v>
      </c>
      <c r="L50" s="356">
        <f>O20/O27</f>
        <v>6.7502715176184835E-2</v>
      </c>
      <c r="M50" s="356">
        <f>S20/$S$31</f>
        <v>5.0951425052533666E-2</v>
      </c>
      <c r="N50" s="25"/>
      <c r="U50" s="33"/>
      <c r="V50" s="33"/>
      <c r="W50" s="33"/>
      <c r="X50" s="33"/>
    </row>
    <row r="51" spans="3:24" ht="15.75" customHeight="1" thickBot="1" x14ac:dyDescent="0.5">
      <c r="C51" s="25"/>
      <c r="D51" s="32" t="s">
        <v>250</v>
      </c>
      <c r="E51" s="393" t="s">
        <v>220</v>
      </c>
      <c r="F51" s="468">
        <f>N24*1000</f>
        <v>1367962.9759981693</v>
      </c>
      <c r="I51" s="25"/>
      <c r="J51" s="25"/>
      <c r="K51" s="69" t="s">
        <v>233</v>
      </c>
      <c r="L51" s="356">
        <f>O23/O27</f>
        <v>0.20959359709010253</v>
      </c>
      <c r="M51" s="356">
        <f>S23/$S$31</f>
        <v>0.15820241342521454</v>
      </c>
      <c r="U51" s="33"/>
      <c r="V51" s="33"/>
      <c r="W51" s="33"/>
      <c r="X51" s="33"/>
    </row>
    <row r="52" spans="3:24" ht="15.75" customHeight="1" thickBot="1" x14ac:dyDescent="0.5">
      <c r="C52" s="25"/>
      <c r="D52" s="32" t="s">
        <v>39</v>
      </c>
      <c r="E52" s="393" t="s">
        <v>220</v>
      </c>
      <c r="F52" s="41">
        <f>O24*1000</f>
        <v>1267140.1533684852</v>
      </c>
      <c r="I52" s="25"/>
      <c r="J52" s="25"/>
      <c r="K52" s="69" t="s">
        <v>234</v>
      </c>
      <c r="L52" s="356">
        <f>O26/O27</f>
        <v>0.17334591950209696</v>
      </c>
      <c r="M52" s="356">
        <f>S26/$S$31</f>
        <v>0.13084246467154942</v>
      </c>
      <c r="U52" s="33"/>
      <c r="V52" s="33"/>
      <c r="W52" s="33"/>
      <c r="X52" s="33"/>
    </row>
    <row r="53" spans="3:24" ht="14.65" thickBot="1" x14ac:dyDescent="0.5">
      <c r="D53" s="1"/>
      <c r="E53" s="1"/>
      <c r="F53" s="1"/>
      <c r="G53" s="1"/>
      <c r="H53" s="1"/>
      <c r="K53" s="127" t="s">
        <v>71</v>
      </c>
      <c r="L53" s="35"/>
      <c r="M53" s="356">
        <f>S30/$S$31</f>
        <v>0.24519443522311118</v>
      </c>
    </row>
    <row r="54" spans="3:24" ht="14.65" thickBot="1" x14ac:dyDescent="0.5">
      <c r="K54" s="220" t="s">
        <v>10</v>
      </c>
      <c r="L54" s="53">
        <f>SUM(L49:L53)</f>
        <v>0.99999999999999989</v>
      </c>
      <c r="M54" s="53">
        <f>SUM(M49:M53)</f>
        <v>1.0000000000000002</v>
      </c>
    </row>
    <row r="55" spans="3:24" ht="14.65" thickBot="1" x14ac:dyDescent="0.5">
      <c r="D55" s="38" t="s">
        <v>227</v>
      </c>
      <c r="E55" s="55" t="s">
        <v>266</v>
      </c>
      <c r="F55" s="55" t="s">
        <v>150</v>
      </c>
      <c r="G55" s="60" t="s">
        <v>229</v>
      </c>
    </row>
    <row r="56" spans="3:24" ht="14.65" thickBot="1" x14ac:dyDescent="0.5">
      <c r="D56" s="45" t="s">
        <v>228</v>
      </c>
      <c r="E56" s="581">
        <f>'Learning rates'!R117</f>
        <v>0.309880090218496</v>
      </c>
      <c r="F56" s="581">
        <f>'Learning rates'!R119</f>
        <v>5.7617213571592274E-2</v>
      </c>
      <c r="G56" s="45" t="s">
        <v>271</v>
      </c>
      <c r="K56" s="38" t="s">
        <v>60</v>
      </c>
      <c r="L56" s="54"/>
      <c r="M56" s="61"/>
      <c r="N56" s="62"/>
      <c r="O56" s="33"/>
      <c r="P56" s="38" t="s">
        <v>181</v>
      </c>
      <c r="Q56" s="61"/>
      <c r="R56" s="62"/>
    </row>
    <row r="57" spans="3:24" x14ac:dyDescent="0.45">
      <c r="D57" s="34" t="s">
        <v>228</v>
      </c>
      <c r="E57" s="579">
        <f>'Learning rates'!N117</f>
        <v>0.309880090218496</v>
      </c>
      <c r="F57" s="579">
        <f>'Learning rates'!N119</f>
        <v>5.7617213571592364E-2</v>
      </c>
      <c r="G57" s="34" t="s">
        <v>16</v>
      </c>
      <c r="H57" s="33"/>
      <c r="K57" s="47" t="s">
        <v>23</v>
      </c>
      <c r="L57" s="232">
        <f>Results!$D$5</f>
        <v>0.06</v>
      </c>
      <c r="M57" s="232">
        <f>Results!$D$5</f>
        <v>0.06</v>
      </c>
      <c r="N57" s="232">
        <f>Results!$D$5</f>
        <v>0.06</v>
      </c>
      <c r="O57" s="33"/>
      <c r="P57" s="19" t="s">
        <v>182</v>
      </c>
      <c r="Q57" s="20"/>
      <c r="R57" s="21"/>
    </row>
    <row r="58" spans="3:24" x14ac:dyDescent="0.45">
      <c r="D58" s="34" t="s">
        <v>228</v>
      </c>
      <c r="E58" s="579">
        <f>'Learning rates'!N117</f>
        <v>0.309880090218496</v>
      </c>
      <c r="F58" s="579">
        <f>'Learning rates'!N119</f>
        <v>5.7617213571592364E-2</v>
      </c>
      <c r="G58" s="34" t="s">
        <v>206</v>
      </c>
      <c r="H58" s="33"/>
      <c r="K58" s="47" t="s">
        <v>130</v>
      </c>
      <c r="L58" s="314">
        <v>27</v>
      </c>
      <c r="M58" s="314">
        <v>30</v>
      </c>
      <c r="N58" s="314">
        <v>15</v>
      </c>
      <c r="O58" s="33"/>
      <c r="P58" s="47"/>
      <c r="Q58" s="33"/>
      <c r="R58" s="48"/>
    </row>
    <row r="59" spans="3:24" x14ac:dyDescent="0.45">
      <c r="D59" s="34" t="s">
        <v>228</v>
      </c>
      <c r="E59" s="579">
        <f>'Learning rates'!O117</f>
        <v>0.309880090218496</v>
      </c>
      <c r="F59" s="579">
        <f>'Learning rates'!O119</f>
        <v>5.761721357159242E-2</v>
      </c>
      <c r="G59" s="34" t="s">
        <v>64</v>
      </c>
      <c r="K59" s="47" t="s">
        <v>36</v>
      </c>
      <c r="L59" s="159">
        <f>POWER((1+L57),L58)</f>
        <v>4.8223459407037845</v>
      </c>
      <c r="M59" s="159">
        <f>POWER((1+M57),M58)</f>
        <v>5.7434911729132594</v>
      </c>
      <c r="N59" s="159">
        <f>POWER((1+N57),N58)</f>
        <v>2.3965581930996924</v>
      </c>
      <c r="O59" s="33"/>
      <c r="P59" s="47"/>
      <c r="Q59" s="33"/>
      <c r="R59" s="48"/>
    </row>
    <row r="60" spans="3:24" x14ac:dyDescent="0.45">
      <c r="D60" s="34" t="s">
        <v>176</v>
      </c>
      <c r="E60" s="66">
        <f>'Learning rates'!Z117</f>
        <v>0.45825054143608607</v>
      </c>
      <c r="F60" s="579">
        <f>'Learning rates'!Z119</f>
        <v>0.10454055767824107</v>
      </c>
      <c r="G60" s="34" t="s">
        <v>267</v>
      </c>
      <c r="K60" s="47"/>
      <c r="L60" s="159"/>
      <c r="M60" s="159"/>
      <c r="N60" s="159"/>
      <c r="O60" s="33"/>
      <c r="P60" s="47"/>
      <c r="Q60" s="33"/>
      <c r="R60" s="48"/>
    </row>
    <row r="61" spans="3:24" x14ac:dyDescent="0.45">
      <c r="D61" s="34" t="s">
        <v>228</v>
      </c>
      <c r="E61" s="66">
        <f>'Learning rates'!AA117</f>
        <v>0.30988009021849588</v>
      </c>
      <c r="F61" s="579">
        <f>'Learning rates'!AA119</f>
        <v>5.7617213571592503E-2</v>
      </c>
      <c r="G61" s="34" t="s">
        <v>268</v>
      </c>
      <c r="K61" s="47" t="s">
        <v>33</v>
      </c>
      <c r="L61" s="159">
        <f>L59*L57</f>
        <v>0.28934075644222707</v>
      </c>
      <c r="M61" s="159">
        <f>M59*M57</f>
        <v>0.34460947037479556</v>
      </c>
      <c r="N61" s="159">
        <f>N59*N57</f>
        <v>0.14379349158598154</v>
      </c>
      <c r="O61" s="33"/>
      <c r="P61" s="23" t="s">
        <v>94</v>
      </c>
      <c r="Q61" s="341" t="s">
        <v>23</v>
      </c>
      <c r="R61" s="48"/>
    </row>
    <row r="62" spans="3:24" ht="14.65" thickBot="1" x14ac:dyDescent="0.5">
      <c r="D62" s="34" t="s">
        <v>176</v>
      </c>
      <c r="E62" s="66">
        <f>'Learning rates'!W117</f>
        <v>0.45825054143608612</v>
      </c>
      <c r="F62" s="579">
        <f>'Learning rates'!W119</f>
        <v>0.10454055767824083</v>
      </c>
      <c r="G62" s="34" t="s">
        <v>306</v>
      </c>
      <c r="K62" s="47"/>
      <c r="L62" s="159"/>
      <c r="M62" s="159"/>
      <c r="N62" s="159"/>
      <c r="O62" s="33"/>
      <c r="P62" s="143">
        <v>0.01</v>
      </c>
      <c r="Q62" s="194">
        <f>(1+L57)/(1+P62)-1</f>
        <v>4.9504950495049549E-2</v>
      </c>
      <c r="R62" s="29"/>
    </row>
    <row r="63" spans="3:24" ht="14.65" thickBot="1" x14ac:dyDescent="0.5">
      <c r="D63" s="34" t="s">
        <v>228</v>
      </c>
      <c r="E63" s="66">
        <v>0.02</v>
      </c>
      <c r="F63" s="580">
        <v>0.02</v>
      </c>
      <c r="G63" s="431" t="s">
        <v>269</v>
      </c>
      <c r="K63" s="47" t="s">
        <v>34</v>
      </c>
      <c r="L63" s="159">
        <f>L59-1</f>
        <v>3.8223459407037845</v>
      </c>
      <c r="M63" s="159">
        <f>M59-1</f>
        <v>4.7434911729132594</v>
      </c>
      <c r="N63" s="159">
        <f>N59-1</f>
        <v>1.3965581930996924</v>
      </c>
      <c r="O63" s="33"/>
      <c r="P63" t="s">
        <v>72</v>
      </c>
    </row>
    <row r="64" spans="3:24" ht="14.65" thickBot="1" x14ac:dyDescent="0.5">
      <c r="D64" s="34" t="s">
        <v>223</v>
      </c>
      <c r="E64" s="66">
        <f>'Learning rates'!K117</f>
        <v>0.28622833283731713</v>
      </c>
      <c r="F64" s="579">
        <f>'Learning rates'!K119</f>
        <v>0.10454055767824121</v>
      </c>
      <c r="G64" s="34" t="s">
        <v>76</v>
      </c>
      <c r="K64" s="73" t="s">
        <v>35</v>
      </c>
      <c r="L64" s="231">
        <f>L61/L63</f>
        <v>7.5697166329469531E-2</v>
      </c>
      <c r="M64" s="231">
        <f>M61/M63</f>
        <v>7.2648911490047194E-2</v>
      </c>
      <c r="N64" s="231">
        <f>N61/N63</f>
        <v>0.10296276395531262</v>
      </c>
      <c r="O64" s="33"/>
      <c r="Q64" s="6"/>
    </row>
    <row r="65" spans="3:21" x14ac:dyDescent="0.45">
      <c r="D65" s="34" t="s">
        <v>186</v>
      </c>
      <c r="E65" s="66"/>
      <c r="F65" s="579">
        <f>'Learning rates'!AD119</f>
        <v>0.53864309626339746</v>
      </c>
      <c r="G65" s="34" t="s">
        <v>230</v>
      </c>
      <c r="K65" s="47"/>
      <c r="L65" s="176"/>
      <c r="M65" s="33"/>
      <c r="N65" s="48"/>
      <c r="O65" s="33"/>
      <c r="Q65" s="6"/>
    </row>
    <row r="66" spans="3:21" ht="14.65" thickBot="1" x14ac:dyDescent="0.5">
      <c r="D66" s="34" t="s">
        <v>272</v>
      </c>
      <c r="E66" s="66">
        <v>0.5</v>
      </c>
      <c r="F66" s="579">
        <v>0</v>
      </c>
      <c r="G66" s="34" t="s">
        <v>116</v>
      </c>
      <c r="K66" s="47"/>
      <c r="L66" s="47" t="s">
        <v>61</v>
      </c>
      <c r="M66" s="33"/>
      <c r="N66" s="48"/>
      <c r="O66" s="33"/>
      <c r="P66" s="190"/>
      <c r="Q66" s="190"/>
      <c r="R66" s="33"/>
    </row>
    <row r="67" spans="3:21" ht="14.65" thickBot="1" x14ac:dyDescent="0.5">
      <c r="D67" s="40" t="s">
        <v>270</v>
      </c>
      <c r="E67" s="155">
        <v>0.7</v>
      </c>
      <c r="F67" s="582">
        <v>0.8</v>
      </c>
      <c r="G67" s="40" t="s">
        <v>231</v>
      </c>
      <c r="K67" s="28"/>
      <c r="L67" s="73">
        <f>1/POWER((1+L57),-1)</f>
        <v>1.06</v>
      </c>
      <c r="M67" s="73">
        <f>1/POWER((1+M57),-1)</f>
        <v>1.06</v>
      </c>
      <c r="N67" s="73">
        <f>1/POWER((1+N57),-1)</f>
        <v>1.06</v>
      </c>
      <c r="O67" s="33"/>
    </row>
    <row r="68" spans="3:21" x14ac:dyDescent="0.45">
      <c r="D68" s="1"/>
      <c r="E68" s="156"/>
      <c r="K68" s="33"/>
      <c r="O68" s="33"/>
    </row>
    <row r="69" spans="3:21" ht="14.65" thickBot="1" x14ac:dyDescent="0.5">
      <c r="O69" s="33"/>
    </row>
    <row r="70" spans="3:21" ht="14.65" thickBot="1" x14ac:dyDescent="0.5">
      <c r="D70" s="226"/>
      <c r="F70" s="962" t="s">
        <v>108</v>
      </c>
      <c r="G70" s="963"/>
      <c r="H70" s="962" t="s">
        <v>133</v>
      </c>
      <c r="I70" s="963"/>
      <c r="J70" s="64"/>
      <c r="K70" s="962" t="s">
        <v>191</v>
      </c>
      <c r="L70" s="963"/>
      <c r="M70" s="55" t="s">
        <v>329</v>
      </c>
      <c r="O70" s="962" t="s">
        <v>6</v>
      </c>
      <c r="P70" s="963"/>
    </row>
    <row r="71" spans="3:21" ht="33.75" customHeight="1" thickBot="1" x14ac:dyDescent="0.5">
      <c r="C71" s="224"/>
      <c r="D71" s="228"/>
      <c r="E71" s="31" t="s">
        <v>110</v>
      </c>
      <c r="F71" s="230">
        <v>2035</v>
      </c>
      <c r="G71" s="230">
        <v>2050</v>
      </c>
      <c r="H71" s="230">
        <v>2035</v>
      </c>
      <c r="I71" s="230">
        <v>2050</v>
      </c>
      <c r="J71" s="590"/>
      <c r="K71" s="986" t="s">
        <v>204</v>
      </c>
      <c r="L71" s="987"/>
      <c r="M71" s="32" t="s">
        <v>335</v>
      </c>
      <c r="O71" s="31">
        <v>2035</v>
      </c>
      <c r="P71" s="31">
        <v>2050</v>
      </c>
    </row>
    <row r="72" spans="3:21" ht="19.5" customHeight="1" thickBot="1" x14ac:dyDescent="0.5">
      <c r="D72" s="136"/>
      <c r="E72" s="30"/>
      <c r="F72" s="230"/>
      <c r="G72" s="744"/>
      <c r="H72" s="744" t="s">
        <v>15</v>
      </c>
      <c r="I72" s="230" t="s">
        <v>15</v>
      </c>
      <c r="J72" s="153"/>
      <c r="K72" s="47"/>
      <c r="L72" s="48"/>
      <c r="M72" s="34"/>
      <c r="O72" s="269" t="s">
        <v>211</v>
      </c>
      <c r="P72" s="269" t="s">
        <v>211</v>
      </c>
      <c r="T72" s="33"/>
      <c r="U72" s="33"/>
    </row>
    <row r="73" spans="3:21" ht="14.65" thickBot="1" x14ac:dyDescent="0.5">
      <c r="D73" s="227" t="s">
        <v>121</v>
      </c>
      <c r="E73" s="225" t="s">
        <v>22</v>
      </c>
      <c r="F73" s="11">
        <v>30</v>
      </c>
      <c r="G73" s="10">
        <v>30</v>
      </c>
      <c r="H73" s="222"/>
      <c r="I73" s="745"/>
      <c r="J73" s="591"/>
      <c r="K73" s="47"/>
      <c r="L73" s="48"/>
      <c r="M73" s="34"/>
      <c r="T73" s="104"/>
      <c r="U73" s="2"/>
    </row>
    <row r="74" spans="3:21" ht="14.65" thickBot="1" x14ac:dyDescent="0.5">
      <c r="D74" s="136"/>
      <c r="E74" s="30"/>
      <c r="F74" s="11"/>
      <c r="G74" s="10"/>
      <c r="H74" s="222"/>
      <c r="I74" s="745"/>
      <c r="J74" s="591"/>
      <c r="K74" s="47"/>
      <c r="L74" s="48"/>
      <c r="M74" s="34"/>
      <c r="T74" s="126"/>
      <c r="U74" s="126"/>
    </row>
    <row r="75" spans="3:21" ht="14.65" thickBot="1" x14ac:dyDescent="0.5">
      <c r="D75" s="270" t="s">
        <v>7</v>
      </c>
      <c r="E75" s="30"/>
      <c r="F75" s="746"/>
      <c r="G75" s="93"/>
      <c r="H75" s="222"/>
      <c r="I75" s="745"/>
      <c r="J75" s="591"/>
      <c r="K75" s="47"/>
      <c r="L75" s="48"/>
      <c r="M75" s="34"/>
      <c r="T75" s="33"/>
      <c r="U75" s="33"/>
    </row>
    <row r="76" spans="3:21" ht="14.65" thickBot="1" x14ac:dyDescent="0.5">
      <c r="D76" s="136" t="s">
        <v>28</v>
      </c>
      <c r="E76" s="30" t="s">
        <v>109</v>
      </c>
      <c r="F76" s="747">
        <f>H4/1000</f>
        <v>0.46894798532588267</v>
      </c>
      <c r="G76" s="748">
        <f>I4/1000</f>
        <v>0.41992390141782721</v>
      </c>
      <c r="H76" s="222">
        <f t="shared" ref="H76:I80" si="9">20*F76</f>
        <v>9.3789597065176533</v>
      </c>
      <c r="I76" s="13">
        <f t="shared" si="9"/>
        <v>8.3984780283565446</v>
      </c>
      <c r="J76" s="592"/>
      <c r="K76" s="32" t="s">
        <v>162</v>
      </c>
      <c r="L76" s="32" t="s">
        <v>163</v>
      </c>
      <c r="M76" s="32"/>
      <c r="T76" s="33"/>
      <c r="U76" s="33"/>
    </row>
    <row r="77" spans="3:21" ht="14.65" thickBot="1" x14ac:dyDescent="0.5">
      <c r="D77" s="136" t="s">
        <v>320</v>
      </c>
      <c r="E77" s="30" t="s">
        <v>109</v>
      </c>
      <c r="F77" s="747">
        <f>H5/1000*K77</f>
        <v>0.22621901803920885</v>
      </c>
      <c r="G77" s="748">
        <f>I5/1000*K77</f>
        <v>0.21318490856288783</v>
      </c>
      <c r="H77" s="222">
        <f t="shared" si="9"/>
        <v>4.5243803607841766</v>
      </c>
      <c r="I77" s="13">
        <f t="shared" si="9"/>
        <v>4.2636981712577562</v>
      </c>
      <c r="J77" s="592"/>
      <c r="K77" s="805">
        <f>F213</f>
        <v>0.97</v>
      </c>
      <c r="L77" s="34"/>
      <c r="M77" s="34"/>
      <c r="O77" s="277">
        <f>SUM(H76,H77,H79)</f>
        <v>14.291601528544904</v>
      </c>
      <c r="P77" s="277">
        <f>SUM(I76,I77,I79)</f>
        <v>13.028067117323314</v>
      </c>
      <c r="Q77" t="s">
        <v>323</v>
      </c>
      <c r="T77" s="6"/>
    </row>
    <row r="78" spans="3:21" ht="14.65" thickBot="1" x14ac:dyDescent="0.5">
      <c r="D78" s="136" t="s">
        <v>319</v>
      </c>
      <c r="E78" s="30" t="s">
        <v>109</v>
      </c>
      <c r="F78" s="747">
        <f>H5/1000</f>
        <v>0.2332154825146483</v>
      </c>
      <c r="G78" s="748">
        <f>I5/1000</f>
        <v>0.21977825625039982</v>
      </c>
      <c r="H78" s="222">
        <f t="shared" si="9"/>
        <v>4.6643096502929655</v>
      </c>
      <c r="I78" s="13">
        <f t="shared" si="9"/>
        <v>4.3955651250079963</v>
      </c>
      <c r="J78" s="592"/>
      <c r="K78" s="806"/>
      <c r="L78" s="34"/>
      <c r="M78" s="34"/>
      <c r="O78" s="276">
        <f>O77*$M$64*$M$67</f>
        <v>1.1005654521681789</v>
      </c>
      <c r="P78" s="276">
        <f>P77*$M$64*$M$67</f>
        <v>1.0032633885863846</v>
      </c>
      <c r="Q78" t="s">
        <v>325</v>
      </c>
      <c r="T78" s="6"/>
    </row>
    <row r="79" spans="3:21" ht="14.65" thickBot="1" x14ac:dyDescent="0.5">
      <c r="D79" s="136" t="s">
        <v>321</v>
      </c>
      <c r="E79" s="30" t="s">
        <v>109</v>
      </c>
      <c r="F79" s="747">
        <f>H6/1000*K79</f>
        <v>1.9413073062153709E-2</v>
      </c>
      <c r="G79" s="747">
        <f>I6/1000*K79</f>
        <v>1.8294545885450673E-2</v>
      </c>
      <c r="H79" s="222">
        <f t="shared" si="9"/>
        <v>0.38826146124307415</v>
      </c>
      <c r="I79" s="13">
        <f t="shared" si="9"/>
        <v>0.3658909177090135</v>
      </c>
      <c r="J79" s="592"/>
      <c r="K79" s="807">
        <f>K77</f>
        <v>0.97</v>
      </c>
      <c r="L79" s="34"/>
      <c r="M79" s="34"/>
      <c r="O79" s="799">
        <f>SUM(H76,H78,H80)</f>
        <v>14.443538904483891</v>
      </c>
      <c r="P79" s="171">
        <f>SUM(I76,I78,I80)</f>
        <v>13.171250285023318</v>
      </c>
      <c r="Q79" t="s">
        <v>324</v>
      </c>
    </row>
    <row r="80" spans="3:21" ht="14.65" thickBot="1" x14ac:dyDescent="0.5">
      <c r="D80" s="136" t="s">
        <v>322</v>
      </c>
      <c r="E80" s="30" t="s">
        <v>109</v>
      </c>
      <c r="F80" s="747">
        <f>H6/1000</f>
        <v>2.0013477383663617E-2</v>
      </c>
      <c r="G80" s="748">
        <f>I6/1000</f>
        <v>1.8860356582938838E-2</v>
      </c>
      <c r="H80" s="222">
        <f t="shared" si="9"/>
        <v>0.40026954767327233</v>
      </c>
      <c r="I80" s="13">
        <f t="shared" si="9"/>
        <v>0.37720713165877673</v>
      </c>
      <c r="J80" s="592"/>
      <c r="K80" s="806"/>
      <c r="L80" s="34"/>
      <c r="M80" s="34"/>
      <c r="O80" s="276">
        <f>O79*$M$64*$M$67</f>
        <v>1.1122658222433977</v>
      </c>
      <c r="P80" s="276">
        <f>P79*$M$64*$M$67</f>
        <v>1.0142896159401129</v>
      </c>
      <c r="Q80" t="s">
        <v>326</v>
      </c>
    </row>
    <row r="81" spans="4:17" ht="14.65" thickBot="1" x14ac:dyDescent="0.5">
      <c r="D81" s="136" t="s">
        <v>26</v>
      </c>
      <c r="E81" s="30" t="s">
        <v>284</v>
      </c>
      <c r="F81" s="816">
        <f>H22/1000*K81</f>
        <v>1.718327410676411E-2</v>
      </c>
      <c r="G81" s="820">
        <f>I22/1000*K81</f>
        <v>1.5386925048904916E-2</v>
      </c>
      <c r="H81" s="222">
        <f>20*F81</f>
        <v>0.3436654821352822</v>
      </c>
      <c r="I81" s="222">
        <f>20*G81</f>
        <v>0.30773850097809829</v>
      </c>
      <c r="J81" s="600"/>
      <c r="K81" s="805">
        <f>F214</f>
        <v>0.99099999999999999</v>
      </c>
      <c r="L81" s="34"/>
      <c r="M81" s="34"/>
      <c r="O81" s="276">
        <f>SUM(H81:H82)</f>
        <v>0.4301122762061329</v>
      </c>
      <c r="P81" s="276">
        <f>SUM(I81:I82)</f>
        <v>0.38514809898728619</v>
      </c>
      <c r="Q81" t="s">
        <v>327</v>
      </c>
    </row>
    <row r="82" spans="4:17" ht="14.65" thickBot="1" x14ac:dyDescent="0.5">
      <c r="D82" s="136" t="s">
        <v>42</v>
      </c>
      <c r="E82" s="30" t="s">
        <v>285</v>
      </c>
      <c r="F82" s="828">
        <f>H23/1000</f>
        <v>4.3223397035425347E-3</v>
      </c>
      <c r="G82" s="829">
        <f>I23/1000</f>
        <v>3.870479900459395E-3</v>
      </c>
      <c r="H82" s="222">
        <f>20*F82</f>
        <v>8.6446794070850694E-2</v>
      </c>
      <c r="I82" s="222">
        <f>20*G82</f>
        <v>7.7409598009187897E-2</v>
      </c>
      <c r="J82" s="592"/>
      <c r="K82" s="34"/>
      <c r="L82" s="34"/>
      <c r="M82" s="34"/>
    </row>
    <row r="83" spans="4:17" ht="14.65" thickBot="1" x14ac:dyDescent="0.5">
      <c r="D83" s="136"/>
      <c r="E83" s="30"/>
      <c r="F83" s="11"/>
      <c r="G83" s="10"/>
      <c r="H83" s="222"/>
      <c r="I83" s="607"/>
      <c r="J83" s="591"/>
      <c r="K83" s="34"/>
      <c r="L83" s="34"/>
      <c r="M83" s="34"/>
      <c r="O83" s="614"/>
    </row>
    <row r="84" spans="4:17" ht="14.65" thickBot="1" x14ac:dyDescent="0.5">
      <c r="D84" s="270" t="s">
        <v>104</v>
      </c>
      <c r="E84" s="30"/>
      <c r="F84" s="746"/>
      <c r="G84" s="93"/>
      <c r="H84" s="222"/>
      <c r="I84" s="745"/>
      <c r="J84" s="591"/>
      <c r="K84" s="34"/>
      <c r="L84" s="34"/>
      <c r="M84" s="34"/>
    </row>
    <row r="85" spans="4:17" ht="14.65" thickBot="1" x14ac:dyDescent="0.5">
      <c r="D85" s="178" t="s">
        <v>57</v>
      </c>
      <c r="E85" s="30" t="s">
        <v>30</v>
      </c>
      <c r="F85" s="749">
        <f>IF(L85&gt;20,2*L85,40)</f>
        <v>150</v>
      </c>
      <c r="G85" s="749">
        <f>IF(L85&gt;20,2*L85,40)</f>
        <v>150</v>
      </c>
      <c r="H85" s="222"/>
      <c r="I85" s="745"/>
      <c r="J85" s="591"/>
      <c r="K85" s="34"/>
      <c r="L85" s="810">
        <f>E180</f>
        <v>75</v>
      </c>
      <c r="M85" s="34"/>
    </row>
    <row r="86" spans="4:17" ht="14.65" thickBot="1" x14ac:dyDescent="0.5">
      <c r="D86" s="178" t="s">
        <v>124</v>
      </c>
      <c r="E86" s="30" t="s">
        <v>1</v>
      </c>
      <c r="F86" s="750">
        <f>L86</f>
        <v>2531.8601173124998</v>
      </c>
      <c r="G86" s="12">
        <f>F86</f>
        <v>2531.8601173124998</v>
      </c>
      <c r="H86" s="222"/>
      <c r="I86" s="745"/>
      <c r="J86" s="591"/>
      <c r="K86" s="34"/>
      <c r="L86" s="810">
        <f>E183</f>
        <v>2531.8601173124998</v>
      </c>
      <c r="M86" s="34"/>
      <c r="O86" s="625"/>
      <c r="P86" s="33"/>
    </row>
    <row r="87" spans="4:17" ht="14.65" thickBot="1" x14ac:dyDescent="0.5">
      <c r="D87" s="178" t="s">
        <v>99</v>
      </c>
      <c r="E87" s="30" t="s">
        <v>1</v>
      </c>
      <c r="F87" s="91">
        <v>500</v>
      </c>
      <c r="G87" s="10">
        <f>F87</f>
        <v>500</v>
      </c>
      <c r="H87" s="222"/>
      <c r="I87" s="745"/>
      <c r="J87" s="591"/>
      <c r="K87" s="34"/>
      <c r="L87" s="34"/>
      <c r="M87" s="34"/>
      <c r="O87" s="33"/>
      <c r="P87" s="33"/>
    </row>
    <row r="88" spans="4:17" ht="14.65" thickBot="1" x14ac:dyDescent="0.5">
      <c r="D88" s="136" t="s">
        <v>125</v>
      </c>
      <c r="E88" s="233" t="s">
        <v>68</v>
      </c>
      <c r="F88" s="91">
        <v>1400</v>
      </c>
      <c r="G88" s="751">
        <f>F88*(1+J88)</f>
        <v>1400</v>
      </c>
      <c r="H88" s="222">
        <f>F88*F86/1000000</f>
        <v>3.5446041642374997</v>
      </c>
      <c r="I88" s="745">
        <f>G88*G86/1000000</f>
        <v>3.5446041642374997</v>
      </c>
      <c r="J88" s="591"/>
      <c r="K88" s="34"/>
      <c r="L88" s="34"/>
      <c r="M88" s="34"/>
      <c r="O88" s="162"/>
      <c r="P88" s="162"/>
    </row>
    <row r="89" spans="4:17" ht="14.65" thickBot="1" x14ac:dyDescent="0.5">
      <c r="D89" s="136" t="s">
        <v>126</v>
      </c>
      <c r="E89" s="233" t="s">
        <v>68</v>
      </c>
      <c r="F89" s="11">
        <v>3700</v>
      </c>
      <c r="G89" s="751">
        <f>F89*(1+J89)</f>
        <v>3700</v>
      </c>
      <c r="H89" s="222">
        <f>F89*F87/1000000</f>
        <v>1.85</v>
      </c>
      <c r="I89" s="745">
        <f>G89*G87/1000000</f>
        <v>1.85</v>
      </c>
      <c r="J89" s="591"/>
      <c r="K89" s="34"/>
      <c r="L89" s="34"/>
      <c r="M89" s="34"/>
    </row>
    <row r="90" spans="4:17" ht="14.65" thickBot="1" x14ac:dyDescent="0.5">
      <c r="D90" s="136" t="s">
        <v>14</v>
      </c>
      <c r="E90" s="233" t="s">
        <v>102</v>
      </c>
      <c r="F90" s="487">
        <f>F8/1498*1000*10*K90</f>
        <v>751.13484646194922</v>
      </c>
      <c r="G90" s="487">
        <f>G8/1498*1000*10*K90</f>
        <v>518.37311247406433</v>
      </c>
      <c r="H90" s="222">
        <f>F90*(F86+F87)/1000000</f>
        <v>2.2773357837116319</v>
      </c>
      <c r="I90" s="745">
        <f>G90*(G86+G87)/1000000</f>
        <v>1.5716347655972625</v>
      </c>
      <c r="J90" s="592"/>
      <c r="K90" s="807">
        <f>$K$77</f>
        <v>0.97</v>
      </c>
      <c r="L90" s="34"/>
      <c r="M90" s="34"/>
      <c r="O90" s="277">
        <f>SUM(H88:H90)</f>
        <v>7.6719399479491308</v>
      </c>
      <c r="P90" s="277">
        <f>SUM(I88:I90)</f>
        <v>6.9662389298347618</v>
      </c>
      <c r="Q90" t="s">
        <v>47</v>
      </c>
    </row>
    <row r="91" spans="4:17" ht="14.65" thickBot="1" x14ac:dyDescent="0.5">
      <c r="D91" s="136" t="s">
        <v>26</v>
      </c>
      <c r="E91" s="30" t="s">
        <v>285</v>
      </c>
      <c r="F91" s="821">
        <f>H25/1000*K91</f>
        <v>3.866261984728264E-3</v>
      </c>
      <c r="G91" s="821">
        <f>I25/1000*K91</f>
        <v>3.6434987422304453E-3</v>
      </c>
      <c r="H91" s="822">
        <f>20*F91</f>
        <v>7.7325239694565284E-2</v>
      </c>
      <c r="I91" s="822">
        <f>20*G91</f>
        <v>7.2869974844608901E-2</v>
      </c>
      <c r="J91" s="592"/>
      <c r="K91" s="808">
        <f>$K$81</f>
        <v>0.99099999999999999</v>
      </c>
      <c r="L91" s="34"/>
      <c r="M91" s="34"/>
      <c r="O91" s="276">
        <f>O90*$M$64*$M$67</f>
        <v>0.59079957140964445</v>
      </c>
      <c r="P91" s="276">
        <f>P90*$M$64*$M$67</f>
        <v>0.53645505595801191</v>
      </c>
      <c r="Q91" t="s">
        <v>139</v>
      </c>
    </row>
    <row r="92" spans="4:17" ht="14.65" thickBot="1" x14ac:dyDescent="0.5">
      <c r="D92" s="608" t="s">
        <v>42</v>
      </c>
      <c r="E92" s="30" t="s">
        <v>285</v>
      </c>
      <c r="F92" s="745">
        <v>0</v>
      </c>
      <c r="G92" s="753">
        <v>0</v>
      </c>
      <c r="H92" s="222">
        <f>20*F92</f>
        <v>0</v>
      </c>
      <c r="I92" s="222">
        <f>20*G92</f>
        <v>0</v>
      </c>
      <c r="J92" s="592"/>
      <c r="K92" s="34"/>
      <c r="L92" s="34"/>
      <c r="M92" s="34"/>
      <c r="O92" s="276">
        <f>SUM(H91:H92)</f>
        <v>7.7325239694565284E-2</v>
      </c>
      <c r="P92" s="276">
        <f>SUM(I91:I92)</f>
        <v>7.2869974844608901E-2</v>
      </c>
      <c r="Q92" t="s">
        <v>151</v>
      </c>
    </row>
    <row r="93" spans="4:17" ht="14.65" thickBot="1" x14ac:dyDescent="0.5">
      <c r="D93" s="227"/>
      <c r="E93" s="30"/>
      <c r="F93" s="746"/>
      <c r="G93" s="93"/>
      <c r="H93" s="222"/>
      <c r="I93" s="745"/>
      <c r="J93" s="591"/>
      <c r="K93" s="34"/>
      <c r="L93" s="34"/>
      <c r="M93" s="34"/>
    </row>
    <row r="94" spans="4:17" ht="15.75" customHeight="1" thickBot="1" x14ac:dyDescent="0.5">
      <c r="D94" s="270" t="s">
        <v>128</v>
      </c>
      <c r="E94" s="30"/>
      <c r="F94" s="746"/>
      <c r="G94" s="93"/>
      <c r="H94" s="222"/>
      <c r="I94" s="745"/>
      <c r="J94" s="591"/>
      <c r="K94" s="34"/>
      <c r="L94" s="34"/>
      <c r="M94" s="34"/>
      <c r="O94" s="33"/>
      <c r="P94" s="33"/>
    </row>
    <row r="95" spans="4:17" ht="14.65" thickBot="1" x14ac:dyDescent="0.5">
      <c r="D95" s="178" t="s">
        <v>107</v>
      </c>
      <c r="E95" s="30" t="s">
        <v>109</v>
      </c>
      <c r="F95" s="754">
        <f>H34/1000*$K$95*$L$95</f>
        <v>0.54050111999999995</v>
      </c>
      <c r="G95" s="754">
        <f>I34/1000*$K$95*$L$95</f>
        <v>0.24936392318936584</v>
      </c>
      <c r="H95" s="222">
        <f t="shared" ref="H95:I98" si="10">20*F95</f>
        <v>10.810022399999999</v>
      </c>
      <c r="I95" s="745">
        <f t="shared" si="10"/>
        <v>4.9872784637873169</v>
      </c>
      <c r="J95" s="593"/>
      <c r="K95" s="805">
        <f>F212</f>
        <v>0.99199999999999999</v>
      </c>
      <c r="L95" s="817">
        <f>E185</f>
        <v>1.0089999999999999</v>
      </c>
      <c r="M95" s="34"/>
      <c r="O95" s="33"/>
      <c r="P95" s="33"/>
    </row>
    <row r="96" spans="4:17" ht="14.65" thickBot="1" x14ac:dyDescent="0.5">
      <c r="D96" s="178" t="s">
        <v>0</v>
      </c>
      <c r="E96" s="30" t="s">
        <v>109</v>
      </c>
      <c r="F96" s="754">
        <f>H35/1000*$K$96*$L$96</f>
        <v>0.35282711999999994</v>
      </c>
      <c r="G96" s="754">
        <f>I35/1000*$K$96*$L$96</f>
        <v>0.16277922763750272</v>
      </c>
      <c r="H96" s="222">
        <f t="shared" si="10"/>
        <v>7.0565423999999988</v>
      </c>
      <c r="I96" s="745">
        <f t="shared" si="10"/>
        <v>3.2555845527500544</v>
      </c>
      <c r="J96" s="593"/>
      <c r="K96" s="807">
        <f>K95</f>
        <v>0.99199999999999999</v>
      </c>
      <c r="L96" s="811">
        <f>L95</f>
        <v>1.0089999999999999</v>
      </c>
      <c r="M96" s="34"/>
      <c r="O96" s="277">
        <f>SUM(H95:H97)</f>
        <v>18.82745568</v>
      </c>
      <c r="P96" s="277">
        <f>SUM(I95:I97)</f>
        <v>9.1483900414854151</v>
      </c>
      <c r="Q96" t="s">
        <v>47</v>
      </c>
    </row>
    <row r="97" spans="4:20" ht="14.65" thickBot="1" x14ac:dyDescent="0.5">
      <c r="D97" s="178" t="s">
        <v>14</v>
      </c>
      <c r="E97" s="30" t="s">
        <v>109</v>
      </c>
      <c r="F97" s="754">
        <f>H36/1000*$K$97*$L$97</f>
        <v>4.8044543999999995E-2</v>
      </c>
      <c r="G97" s="754">
        <f>I36/1000*$K$97*$L$97</f>
        <v>4.527635124740223E-2</v>
      </c>
      <c r="H97" s="222">
        <f t="shared" si="10"/>
        <v>0.96089087999999989</v>
      </c>
      <c r="I97" s="222">
        <f t="shared" si="10"/>
        <v>0.9055270249480446</v>
      </c>
      <c r="J97" s="593"/>
      <c r="K97" s="807">
        <f>K95</f>
        <v>0.99199999999999999</v>
      </c>
      <c r="L97" s="811">
        <f>L95</f>
        <v>1.0089999999999999</v>
      </c>
      <c r="M97" s="34"/>
      <c r="O97" s="276">
        <f>O96*$M$64*$M$67</f>
        <v>1.4498618109558528</v>
      </c>
      <c r="P97" s="276">
        <f>P96*$M$64*$M$67</f>
        <v>0.70449781310432136</v>
      </c>
      <c r="Q97" t="s">
        <v>139</v>
      </c>
    </row>
    <row r="98" spans="4:20" ht="18" customHeight="1" thickBot="1" x14ac:dyDescent="0.5">
      <c r="D98" s="178" t="s">
        <v>286</v>
      </c>
      <c r="E98" s="30" t="s">
        <v>285</v>
      </c>
      <c r="F98" s="816">
        <f>H24*SUM(F95:F97)*K98</f>
        <v>1.8658008578879996E-2</v>
      </c>
      <c r="G98" s="816">
        <f>I24*SUM(G95:G97)*K98</f>
        <v>9.0660545311120472E-3</v>
      </c>
      <c r="H98" s="222">
        <f t="shared" si="10"/>
        <v>0.37316017157759995</v>
      </c>
      <c r="I98" s="222">
        <f t="shared" si="10"/>
        <v>0.18132109062224094</v>
      </c>
      <c r="J98" s="593"/>
      <c r="K98" s="808">
        <f>$K$81</f>
        <v>0.99099999999999999</v>
      </c>
      <c r="L98" s="34"/>
      <c r="M98" s="34"/>
      <c r="O98" s="276">
        <f>H98</f>
        <v>0.37316017157759995</v>
      </c>
      <c r="P98" s="276">
        <f>I98</f>
        <v>0.18132109062224094</v>
      </c>
      <c r="Q98" t="s">
        <v>151</v>
      </c>
    </row>
    <row r="99" spans="4:20" ht="14.65" thickBot="1" x14ac:dyDescent="0.5">
      <c r="D99" s="238" t="s">
        <v>42</v>
      </c>
      <c r="E99" s="213" t="s">
        <v>75</v>
      </c>
      <c r="F99" s="755">
        <v>0</v>
      </c>
      <c r="G99" s="756">
        <v>0</v>
      </c>
      <c r="H99" s="757"/>
      <c r="I99" s="758"/>
      <c r="J99" s="593"/>
      <c r="K99" s="34"/>
      <c r="L99" s="34"/>
      <c r="M99" s="34"/>
    </row>
    <row r="100" spans="4:20" ht="14.65" thickBot="1" x14ac:dyDescent="0.5">
      <c r="D100" s="227"/>
      <c r="E100" s="30"/>
      <c r="F100" s="746"/>
      <c r="G100" s="93"/>
      <c r="H100" s="222"/>
      <c r="I100" s="745"/>
      <c r="J100" s="591"/>
      <c r="K100" s="159"/>
      <c r="L100" s="34"/>
      <c r="M100" s="34"/>
    </row>
    <row r="101" spans="4:20" ht="14.65" thickBot="1" x14ac:dyDescent="0.5">
      <c r="D101" s="270" t="s">
        <v>103</v>
      </c>
      <c r="E101" s="30"/>
      <c r="F101" s="746"/>
      <c r="G101" s="93"/>
      <c r="H101" s="222"/>
      <c r="I101" s="745"/>
      <c r="J101" s="591"/>
      <c r="K101" s="34"/>
      <c r="L101" s="34"/>
      <c r="M101" s="34"/>
      <c r="T101" s="173"/>
    </row>
    <row r="102" spans="4:20" ht="14.65" thickBot="1" x14ac:dyDescent="0.5">
      <c r="D102" s="178" t="s">
        <v>118</v>
      </c>
      <c r="E102" s="30" t="s">
        <v>119</v>
      </c>
      <c r="F102" s="749">
        <v>30</v>
      </c>
      <c r="G102" s="92">
        <v>50</v>
      </c>
      <c r="H102" s="222"/>
      <c r="I102" s="745"/>
      <c r="J102" s="591"/>
      <c r="K102" s="34"/>
      <c r="L102" s="34"/>
      <c r="M102" s="34"/>
    </row>
    <row r="103" spans="4:20" ht="14.65" thickBot="1" x14ac:dyDescent="0.5">
      <c r="D103" s="178" t="s">
        <v>122</v>
      </c>
      <c r="E103" s="30" t="s">
        <v>123</v>
      </c>
      <c r="F103" s="759">
        <v>0.8</v>
      </c>
      <c r="G103" s="760">
        <v>0.875</v>
      </c>
      <c r="H103" s="222"/>
      <c r="I103" s="745"/>
      <c r="J103" s="591"/>
      <c r="K103" s="159"/>
      <c r="L103" s="34"/>
      <c r="M103" s="34"/>
    </row>
    <row r="104" spans="4:20" ht="14.65" thickBot="1" x14ac:dyDescent="0.5">
      <c r="D104" s="237" t="s">
        <v>21</v>
      </c>
      <c r="E104" s="30" t="s">
        <v>22</v>
      </c>
      <c r="F104" s="749">
        <v>30</v>
      </c>
      <c r="G104" s="761">
        <v>30</v>
      </c>
      <c r="H104" s="222"/>
      <c r="I104" s="745"/>
      <c r="J104" s="591"/>
      <c r="K104" s="34"/>
      <c r="L104" s="34"/>
      <c r="M104" s="34"/>
    </row>
    <row r="105" spans="4:20" ht="14.65" thickBot="1" x14ac:dyDescent="0.5">
      <c r="D105" s="238" t="s">
        <v>208</v>
      </c>
      <c r="E105" s="30" t="s">
        <v>48</v>
      </c>
      <c r="F105" s="762">
        <f>141.8/(F103*3.6)</f>
        <v>49.236111111111107</v>
      </c>
      <c r="G105" s="762">
        <f>141.8/(G103*3.6)</f>
        <v>45.015873015873019</v>
      </c>
      <c r="H105" s="222"/>
      <c r="I105" s="745"/>
      <c r="J105" s="591"/>
      <c r="K105" s="34"/>
      <c r="L105" s="34"/>
      <c r="M105" s="34"/>
    </row>
    <row r="106" spans="4:20" ht="14.65" thickBot="1" x14ac:dyDescent="0.5">
      <c r="D106" s="559" t="s">
        <v>264</v>
      </c>
      <c r="E106" s="233" t="s">
        <v>209</v>
      </c>
      <c r="F106" s="749">
        <v>0.34</v>
      </c>
      <c r="G106" s="92">
        <f>F106</f>
        <v>0.34</v>
      </c>
      <c r="H106" s="222"/>
      <c r="I106" s="745"/>
      <c r="J106" s="591"/>
      <c r="K106" s="34"/>
      <c r="L106" s="34"/>
      <c r="M106" s="34"/>
      <c r="O106" s="615"/>
      <c r="P106" s="615"/>
    </row>
    <row r="107" spans="4:20" ht="14.65" thickBot="1" x14ac:dyDescent="0.5">
      <c r="D107" s="178" t="s">
        <v>132</v>
      </c>
      <c r="E107" s="30" t="s">
        <v>109</v>
      </c>
      <c r="F107" s="749">
        <f>1*(1-E67)*M107</f>
        <v>0.30000000000000004</v>
      </c>
      <c r="G107" s="761">
        <f>1*(1-F67)*M107</f>
        <v>0.19999999999999996</v>
      </c>
      <c r="H107" s="222">
        <f t="shared" ref="H107:I109" si="11">20*F107</f>
        <v>6.0000000000000009</v>
      </c>
      <c r="I107" s="745">
        <f t="shared" si="11"/>
        <v>3.9999999999999991</v>
      </c>
      <c r="J107" s="591"/>
      <c r="K107" s="34"/>
      <c r="L107" s="34"/>
      <c r="M107" s="814">
        <v>1</v>
      </c>
      <c r="O107" s="171">
        <f>H107</f>
        <v>6.0000000000000009</v>
      </c>
      <c r="P107" s="171">
        <f>I107</f>
        <v>3.9999999999999991</v>
      </c>
      <c r="Q107" t="s">
        <v>47</v>
      </c>
    </row>
    <row r="108" spans="4:20" ht="14.65" thickBot="1" x14ac:dyDescent="0.5">
      <c r="D108" s="178" t="s">
        <v>265</v>
      </c>
      <c r="E108" s="30" t="s">
        <v>109</v>
      </c>
      <c r="F108" s="749">
        <v>0</v>
      </c>
      <c r="G108" s="763">
        <v>0</v>
      </c>
      <c r="H108" s="222">
        <f t="shared" si="11"/>
        <v>0</v>
      </c>
      <c r="I108" s="745">
        <f t="shared" si="11"/>
        <v>0</v>
      </c>
      <c r="J108" s="592"/>
      <c r="K108" s="34"/>
      <c r="L108" s="34"/>
      <c r="M108" s="34"/>
      <c r="O108" s="276">
        <f>O107*$N$64*$N$67</f>
        <v>0.65484317875578846</v>
      </c>
      <c r="P108" s="276">
        <f>P107*$N$64*$N$67</f>
        <v>0.4365621191705254</v>
      </c>
      <c r="Q108" t="s">
        <v>152</v>
      </c>
    </row>
    <row r="109" spans="4:20" ht="14.65" thickBot="1" x14ac:dyDescent="0.5">
      <c r="D109" s="237" t="s">
        <v>286</v>
      </c>
      <c r="E109" s="30" t="s">
        <v>285</v>
      </c>
      <c r="F109" s="764">
        <f>0.02*SUM(F107:F108)*K109</f>
        <v>5.9460000000000008E-3</v>
      </c>
      <c r="G109" s="764">
        <f>0.02*SUM(G107:G108)*K109</f>
        <v>3.9639999999999988E-3</v>
      </c>
      <c r="H109" s="222">
        <f t="shared" si="11"/>
        <v>0.11892000000000001</v>
      </c>
      <c r="I109" s="222">
        <f t="shared" si="11"/>
        <v>7.9279999999999975E-2</v>
      </c>
      <c r="J109" s="592"/>
      <c r="K109" s="808">
        <f>$K$81</f>
        <v>0.99099999999999999</v>
      </c>
      <c r="L109" s="34"/>
      <c r="M109" s="34"/>
      <c r="O109" s="276">
        <f>H109</f>
        <v>0.11892000000000001</v>
      </c>
      <c r="P109" s="276">
        <f>I109</f>
        <v>7.9279999999999975E-2</v>
      </c>
      <c r="Q109" t="s">
        <v>291</v>
      </c>
    </row>
    <row r="110" spans="4:20" ht="14.65" thickBot="1" x14ac:dyDescent="0.5">
      <c r="D110" s="237"/>
      <c r="E110" s="30"/>
      <c r="F110" s="765"/>
      <c r="G110" s="92"/>
      <c r="H110" s="222"/>
      <c r="I110" s="745"/>
      <c r="J110" s="591"/>
      <c r="K110" s="34"/>
      <c r="L110" s="34"/>
      <c r="M110" s="34"/>
      <c r="O110" s="181"/>
      <c r="P110" s="181"/>
    </row>
    <row r="111" spans="4:20" ht="14.65" thickBot="1" x14ac:dyDescent="0.5">
      <c r="D111" s="270" t="s">
        <v>115</v>
      </c>
      <c r="E111" s="30"/>
      <c r="F111" s="746"/>
      <c r="G111" s="93"/>
      <c r="H111" s="222"/>
      <c r="I111" s="745"/>
      <c r="J111" s="591"/>
      <c r="K111" s="34"/>
      <c r="L111" s="34"/>
      <c r="M111" s="34"/>
      <c r="O111" s="157"/>
      <c r="P111" s="33"/>
    </row>
    <row r="112" spans="4:20" ht="14.65" thickBot="1" x14ac:dyDescent="0.5">
      <c r="D112" s="178" t="s">
        <v>117</v>
      </c>
      <c r="E112" s="30" t="s">
        <v>48</v>
      </c>
      <c r="F112" s="91">
        <v>1.18</v>
      </c>
      <c r="G112" s="93">
        <v>0.67</v>
      </c>
      <c r="H112" s="222"/>
      <c r="I112" s="745"/>
      <c r="J112" s="591"/>
      <c r="K112" s="34"/>
      <c r="L112" s="34"/>
      <c r="M112" s="34"/>
    </row>
    <row r="113" spans="4:17" ht="14.65" thickBot="1" x14ac:dyDescent="0.5">
      <c r="D113" s="178" t="s">
        <v>135</v>
      </c>
      <c r="E113" s="30" t="s">
        <v>3</v>
      </c>
      <c r="F113" s="766">
        <f>F112*H156*1000*3.6/365/24/3600</f>
        <v>0.31155994358251049</v>
      </c>
      <c r="G113" s="766">
        <f>G112*I156*1000*3.6/365/24/3600</f>
        <v>0.19348730606488013</v>
      </c>
      <c r="H113" s="222"/>
      <c r="I113" s="745"/>
      <c r="J113" s="591"/>
      <c r="K113" s="34"/>
      <c r="L113" s="34"/>
      <c r="M113" s="34"/>
    </row>
    <row r="114" spans="4:17" ht="14.65" thickBot="1" x14ac:dyDescent="0.5">
      <c r="D114" s="178" t="s">
        <v>21</v>
      </c>
      <c r="E114" s="30" t="s">
        <v>22</v>
      </c>
      <c r="F114" s="91">
        <v>15</v>
      </c>
      <c r="G114" s="92">
        <v>15</v>
      </c>
      <c r="H114" s="222"/>
      <c r="I114" s="745"/>
      <c r="J114" s="591"/>
      <c r="K114" s="34"/>
      <c r="L114" s="34"/>
      <c r="M114" s="34"/>
    </row>
    <row r="115" spans="4:17" ht="14.65" thickBot="1" x14ac:dyDescent="0.5">
      <c r="D115" s="238" t="s">
        <v>159</v>
      </c>
      <c r="E115" s="233" t="s">
        <v>50</v>
      </c>
      <c r="F115" s="767">
        <f>S161/1000</f>
        <v>2.2145594024787687E-2</v>
      </c>
      <c r="G115" s="767">
        <f>T161/1000</f>
        <v>2.0246834988911565E-2</v>
      </c>
      <c r="H115" s="222"/>
      <c r="I115" s="745"/>
      <c r="J115" s="591"/>
      <c r="K115" s="34"/>
      <c r="L115" s="34"/>
      <c r="M115" s="34"/>
    </row>
    <row r="116" spans="4:17" ht="14.65" thickBot="1" x14ac:dyDescent="0.5">
      <c r="D116" s="238" t="s">
        <v>158</v>
      </c>
      <c r="E116" s="233" t="s">
        <v>50</v>
      </c>
      <c r="F116" s="767">
        <f>S167/1000</f>
        <v>3.3681898987370736E-2</v>
      </c>
      <c r="G116" s="768">
        <f>T167/1000</f>
        <v>2.3349915032035252E-2</v>
      </c>
      <c r="H116" s="222"/>
      <c r="I116" s="745"/>
      <c r="J116" s="591"/>
      <c r="K116" s="122"/>
      <c r="L116" s="34"/>
      <c r="M116" s="34"/>
    </row>
    <row r="117" spans="4:17" ht="14.65" thickBot="1" x14ac:dyDescent="0.5">
      <c r="D117" s="238" t="s">
        <v>287</v>
      </c>
      <c r="E117" s="30" t="s">
        <v>154</v>
      </c>
      <c r="F117" s="769"/>
      <c r="G117" s="770"/>
      <c r="H117" s="222">
        <f>F112*H156*1000*F115/1000000</f>
        <v>6.0441197018684931E-2</v>
      </c>
      <c r="I117" s="222">
        <f>G112*I156*1000*G115/1000000</f>
        <v>3.4317348691099182E-2</v>
      </c>
      <c r="J117" s="591"/>
      <c r="K117" s="34"/>
      <c r="L117" s="34"/>
      <c r="M117" s="34"/>
    </row>
    <row r="118" spans="4:17" ht="14.65" thickBot="1" x14ac:dyDescent="0.5">
      <c r="D118" s="238" t="s">
        <v>288</v>
      </c>
      <c r="E118" s="30" t="s">
        <v>154</v>
      </c>
      <c r="F118" s="769"/>
      <c r="G118" s="770"/>
      <c r="H118" s="222">
        <f>F112*H156*1000*F116/1000000</f>
        <v>9.1926831602731698E-2</v>
      </c>
      <c r="I118" s="222">
        <f>G112*I156*1000*G116/1000000</f>
        <v>3.9576910489996987E-2</v>
      </c>
      <c r="J118" s="591"/>
      <c r="K118" s="34"/>
      <c r="L118" s="34"/>
      <c r="M118" s="34"/>
      <c r="O118" s="613">
        <f>SUM(H119:H120)</f>
        <v>0.63</v>
      </c>
      <c r="P118" s="613">
        <f>SUM(I119:I120)</f>
        <v>0.63</v>
      </c>
      <c r="Q118" s="25" t="s">
        <v>289</v>
      </c>
    </row>
    <row r="119" spans="4:17" ht="14.65" thickBot="1" x14ac:dyDescent="0.5">
      <c r="D119" s="178" t="s">
        <v>273</v>
      </c>
      <c r="E119" s="30" t="s">
        <v>154</v>
      </c>
      <c r="F119" s="91">
        <f>63/50*(1-E66)</f>
        <v>0.63</v>
      </c>
      <c r="G119" s="91">
        <f>F119*(1-F66)</f>
        <v>0.63</v>
      </c>
      <c r="H119" s="222">
        <f>63/50*(1-E66)</f>
        <v>0.63</v>
      </c>
      <c r="I119" s="222">
        <f>H119*(1-F66)</f>
        <v>0.63</v>
      </c>
      <c r="J119" s="592"/>
      <c r="K119" s="34"/>
      <c r="L119" s="34"/>
      <c r="M119" s="34"/>
      <c r="O119" s="276">
        <f>O118*$N$64*$N$67</f>
        <v>6.8758533769357769E-2</v>
      </c>
      <c r="P119" s="276">
        <f>P118*$N$64*$N$67</f>
        <v>6.8758533769357769E-2</v>
      </c>
      <c r="Q119" s="25" t="s">
        <v>152</v>
      </c>
    </row>
    <row r="120" spans="4:17" ht="17.25" customHeight="1" thickBot="1" x14ac:dyDescent="0.5">
      <c r="D120" s="238" t="s">
        <v>274</v>
      </c>
      <c r="E120" s="213" t="s">
        <v>109</v>
      </c>
      <c r="F120" s="749">
        <v>0</v>
      </c>
      <c r="G120" s="10">
        <v>0</v>
      </c>
      <c r="H120" s="222">
        <f>20*F120</f>
        <v>0</v>
      </c>
      <c r="I120" s="745">
        <f>20*G120</f>
        <v>0</v>
      </c>
      <c r="J120" s="592"/>
      <c r="K120" s="34"/>
      <c r="L120" s="34"/>
      <c r="M120" s="34"/>
      <c r="O120" s="276">
        <f>H121+H117</f>
        <v>0.31017319701868495</v>
      </c>
      <c r="P120" s="276">
        <f>I121+I117</f>
        <v>0.28404934869109921</v>
      </c>
      <c r="Q120" s="25" t="s">
        <v>299</v>
      </c>
    </row>
    <row r="121" spans="4:17" ht="14.65" thickBot="1" x14ac:dyDescent="0.5">
      <c r="D121" s="237" t="s">
        <v>286</v>
      </c>
      <c r="E121" s="30" t="s">
        <v>285</v>
      </c>
      <c r="F121" s="752">
        <f>0.02*F119*K121</f>
        <v>1.24866E-2</v>
      </c>
      <c r="G121" s="752">
        <f>0.02*G119*K121</f>
        <v>1.24866E-2</v>
      </c>
      <c r="H121" s="222">
        <f>20*F121</f>
        <v>0.24973200000000001</v>
      </c>
      <c r="I121" s="222">
        <f>20*G121</f>
        <v>0.24973200000000001</v>
      </c>
      <c r="J121" s="592"/>
      <c r="K121" s="808">
        <f>$K$81</f>
        <v>0.99099999999999999</v>
      </c>
      <c r="L121" s="34"/>
      <c r="M121" s="34"/>
      <c r="O121" s="276">
        <f>H121+H118</f>
        <v>0.34165883160273169</v>
      </c>
      <c r="P121" s="276">
        <f>I121+I118</f>
        <v>0.28930891048999702</v>
      </c>
      <c r="Q121" s="25" t="s">
        <v>300</v>
      </c>
    </row>
    <row r="122" spans="4:17" ht="14.65" thickBot="1" x14ac:dyDescent="0.5">
      <c r="D122" s="227"/>
      <c r="E122" s="30"/>
      <c r="F122" s="746"/>
      <c r="G122" s="93"/>
      <c r="H122" s="222"/>
      <c r="I122" s="745"/>
      <c r="J122" s="591"/>
      <c r="K122" s="34"/>
      <c r="L122" s="34"/>
      <c r="M122" s="34"/>
      <c r="O122" s="181"/>
      <c r="P122" s="181"/>
      <c r="Q122" s="25"/>
    </row>
    <row r="123" spans="4:17" ht="14.65" thickBot="1" x14ac:dyDescent="0.5">
      <c r="D123" s="270" t="s">
        <v>105</v>
      </c>
      <c r="E123" s="30"/>
      <c r="F123" s="746"/>
      <c r="G123" s="93"/>
      <c r="H123" s="222"/>
      <c r="I123" s="745"/>
      <c r="J123" s="591"/>
      <c r="K123" s="34"/>
      <c r="L123" s="34"/>
      <c r="M123" s="34"/>
    </row>
    <row r="124" spans="4:17" ht="14.65" thickBot="1" x14ac:dyDescent="0.5">
      <c r="D124" s="178" t="s">
        <v>59</v>
      </c>
      <c r="E124" s="30" t="s">
        <v>43</v>
      </c>
      <c r="F124" s="749">
        <f>86-1.5+L124</f>
        <v>88.25</v>
      </c>
      <c r="G124" s="92">
        <f>F124</f>
        <v>88.25</v>
      </c>
      <c r="H124" s="222"/>
      <c r="I124" s="745"/>
      <c r="J124" s="591"/>
      <c r="K124" s="34"/>
      <c r="L124" s="812">
        <f>E180*50/1000</f>
        <v>3.75</v>
      </c>
      <c r="M124" s="34" t="s">
        <v>328</v>
      </c>
    </row>
    <row r="125" spans="4:17" ht="14.65" thickBot="1" x14ac:dyDescent="0.5">
      <c r="D125" s="178" t="s">
        <v>112</v>
      </c>
      <c r="E125" s="30" t="s">
        <v>111</v>
      </c>
      <c r="F125" s="769">
        <f>0.356*(1-E57)</f>
        <v>0.24568268788221542</v>
      </c>
      <c r="G125" s="748">
        <f>F125*(1-F57)</f>
        <v>0.23152713598366295</v>
      </c>
      <c r="H125" s="222"/>
      <c r="I125" s="745"/>
      <c r="J125" s="594"/>
      <c r="K125" s="34"/>
      <c r="L125" s="34"/>
      <c r="M125" s="34"/>
    </row>
    <row r="126" spans="4:17" ht="14.65" thickBot="1" x14ac:dyDescent="0.5">
      <c r="D126" s="178" t="s">
        <v>62</v>
      </c>
      <c r="E126" s="30" t="s">
        <v>111</v>
      </c>
      <c r="F126" s="769">
        <f>1.48*(1-E56)</f>
        <v>1.021377466476626</v>
      </c>
      <c r="G126" s="748">
        <f>F126*(1-F56)</f>
        <v>0.96252854285343048</v>
      </c>
      <c r="H126" s="771"/>
      <c r="I126" s="745"/>
      <c r="J126" s="593"/>
      <c r="K126" s="34"/>
      <c r="L126" s="34"/>
      <c r="M126" s="34"/>
    </row>
    <row r="127" spans="4:17" ht="14.65" thickBot="1" x14ac:dyDescent="0.5">
      <c r="D127" s="178" t="s">
        <v>120</v>
      </c>
      <c r="E127" s="30" t="s">
        <v>43</v>
      </c>
      <c r="F127" s="749">
        <f>K127</f>
        <v>50</v>
      </c>
      <c r="G127" s="92">
        <f>F127</f>
        <v>50</v>
      </c>
      <c r="H127" s="222"/>
      <c r="I127" s="745"/>
      <c r="J127" s="591"/>
      <c r="K127" s="809">
        <f>F211</f>
        <v>50</v>
      </c>
      <c r="L127" s="34"/>
      <c r="M127" s="34"/>
    </row>
    <row r="128" spans="4:17" ht="14.65" thickBot="1" x14ac:dyDescent="0.5">
      <c r="D128" s="178" t="s">
        <v>113</v>
      </c>
      <c r="E128" s="30" t="s">
        <v>111</v>
      </c>
      <c r="F128" s="766">
        <f>2.51*(1-E57)</f>
        <v>1.7322009735515751</v>
      </c>
      <c r="G128" s="222">
        <f>F128*(1-F57)</f>
        <v>1.6323963801095338</v>
      </c>
      <c r="H128" s="222"/>
      <c r="I128" s="745"/>
      <c r="J128" s="591"/>
      <c r="K128" s="34"/>
      <c r="L128" s="34"/>
      <c r="M128" s="34"/>
    </row>
    <row r="129" spans="4:20" ht="14.65" thickBot="1" x14ac:dyDescent="0.5">
      <c r="D129" s="178" t="s">
        <v>127</v>
      </c>
      <c r="E129" s="30" t="s">
        <v>111</v>
      </c>
      <c r="F129" s="766">
        <f>1.47*(1-E56)</f>
        <v>1.014476267378811</v>
      </c>
      <c r="G129" s="766">
        <f>F129*(1-F56)</f>
        <v>0.95602497161793443</v>
      </c>
      <c r="H129" s="771"/>
      <c r="I129" s="745"/>
      <c r="J129" s="592"/>
      <c r="K129" s="34"/>
      <c r="L129" s="34"/>
      <c r="M129" s="34"/>
      <c r="T129" s="17"/>
    </row>
    <row r="130" spans="4:20" ht="14.65" thickBot="1" x14ac:dyDescent="0.5">
      <c r="D130" s="589" t="s">
        <v>148</v>
      </c>
      <c r="E130" s="30"/>
      <c r="F130" s="91"/>
      <c r="G130" s="93"/>
      <c r="H130" s="222"/>
      <c r="I130" s="745"/>
      <c r="J130" s="591"/>
      <c r="K130" s="34"/>
      <c r="L130" s="34"/>
      <c r="M130" s="34"/>
      <c r="T130" s="17"/>
    </row>
    <row r="131" spans="4:20" ht="14.65" thickBot="1" x14ac:dyDescent="0.5">
      <c r="D131" s="178" t="s">
        <v>136</v>
      </c>
      <c r="E131" s="30" t="s">
        <v>15</v>
      </c>
      <c r="F131" s="750">
        <f>F124*SUM(F125:F126)</f>
        <v>111.81805862216775</v>
      </c>
      <c r="G131" s="750">
        <f>G124*SUM(G125:G126)</f>
        <v>105.3754136573735</v>
      </c>
      <c r="H131" s="222">
        <f t="shared" ref="H131:I136" si="12">F131/50</f>
        <v>2.2363611724433552</v>
      </c>
      <c r="I131" s="745">
        <f t="shared" si="12"/>
        <v>2.1075082731474701</v>
      </c>
      <c r="J131" s="591"/>
      <c r="K131" s="34"/>
      <c r="L131" s="34"/>
      <c r="M131" s="34"/>
    </row>
    <row r="132" spans="4:20" ht="14.65" thickBot="1" x14ac:dyDescent="0.5">
      <c r="D132" s="178" t="s">
        <v>137</v>
      </c>
      <c r="E132" s="30" t="s">
        <v>15</v>
      </c>
      <c r="F132" s="750">
        <f>F127*SUM(F128:F129)</f>
        <v>137.3338620465193</v>
      </c>
      <c r="G132" s="750">
        <f>G127*SUM(G128:G129)</f>
        <v>129.42106758637343</v>
      </c>
      <c r="H132" s="222">
        <f t="shared" si="12"/>
        <v>2.7466772409303859</v>
      </c>
      <c r="I132" s="745">
        <f t="shared" si="12"/>
        <v>2.5884213517274683</v>
      </c>
      <c r="J132" s="591"/>
      <c r="K132" s="34"/>
      <c r="L132" s="34"/>
      <c r="M132" s="34"/>
    </row>
    <row r="133" spans="4:20" ht="14.65" thickBot="1" x14ac:dyDescent="0.5">
      <c r="D133" s="178" t="s">
        <v>17</v>
      </c>
      <c r="E133" s="30" t="s">
        <v>15</v>
      </c>
      <c r="F133" s="750">
        <f>145*(1-E59)</f>
        <v>100.06738691831809</v>
      </c>
      <c r="G133" s="750">
        <f>F133*(1-F59)</f>
        <v>94.301782914694186</v>
      </c>
      <c r="H133" s="222">
        <f t="shared" si="12"/>
        <v>2.0013477383663618</v>
      </c>
      <c r="I133" s="745">
        <f t="shared" si="12"/>
        <v>1.8860356582938838</v>
      </c>
      <c r="J133" s="592"/>
      <c r="K133" s="34"/>
      <c r="L133" s="34"/>
      <c r="M133" s="34"/>
      <c r="O133" s="33"/>
      <c r="P133" s="33"/>
      <c r="Q133" s="33"/>
    </row>
    <row r="134" spans="4:20" ht="14.65" thickBot="1" x14ac:dyDescent="0.5">
      <c r="D134" s="238" t="s">
        <v>19</v>
      </c>
      <c r="E134" s="30" t="s">
        <v>15</v>
      </c>
      <c r="F134" s="772">
        <f>40.6*(1-E56)*K134</f>
        <v>27.178302287015196</v>
      </c>
      <c r="G134" s="12">
        <f>F134*(1-F56)*K134</f>
        <v>24.84399331244202</v>
      </c>
      <c r="H134" s="222">
        <f t="shared" si="12"/>
        <v>0.54356604574030387</v>
      </c>
      <c r="I134" s="745">
        <f t="shared" si="12"/>
        <v>0.4968798662488404</v>
      </c>
      <c r="J134" s="592"/>
      <c r="K134" s="807">
        <f>$K$77</f>
        <v>0.97</v>
      </c>
      <c r="L134" s="34"/>
      <c r="M134" s="34"/>
      <c r="O134" s="33"/>
      <c r="P134" s="33"/>
      <c r="Q134" s="33"/>
    </row>
    <row r="135" spans="4:20" ht="14.65" thickBot="1" x14ac:dyDescent="0.5">
      <c r="D135" s="381" t="s">
        <v>18</v>
      </c>
      <c r="E135" s="30" t="s">
        <v>15</v>
      </c>
      <c r="F135" s="750">
        <f>(34.8+5.8)*(1-E59)</f>
        <v>28.01886833712906</v>
      </c>
      <c r="G135" s="12">
        <f>F135*(1-F59)</f>
        <v>26.404499216114367</v>
      </c>
      <c r="H135" s="222">
        <f t="shared" si="12"/>
        <v>0.56037736674258121</v>
      </c>
      <c r="I135" s="745">
        <f t="shared" si="12"/>
        <v>0.52808998432228738</v>
      </c>
      <c r="J135" s="592"/>
      <c r="K135" s="806"/>
      <c r="L135" s="34"/>
      <c r="M135" s="34"/>
    </row>
    <row r="136" spans="4:20" ht="14.65" thickBot="1" x14ac:dyDescent="0.5">
      <c r="D136" s="178" t="s">
        <v>91</v>
      </c>
      <c r="E136" s="30" t="s">
        <v>15</v>
      </c>
      <c r="F136" s="750">
        <f>34.8*(1-E56)</f>
        <v>24.016172860396338</v>
      </c>
      <c r="G136" s="12">
        <f>F136*(1-F56)</f>
        <v>22.632427899526604</v>
      </c>
      <c r="H136" s="222">
        <f t="shared" si="12"/>
        <v>0.48032345720792674</v>
      </c>
      <c r="I136" s="745">
        <f t="shared" si="12"/>
        <v>0.45264855799053211</v>
      </c>
      <c r="J136" s="592"/>
      <c r="K136" s="34"/>
      <c r="L136" s="34"/>
      <c r="M136" s="34"/>
      <c r="O136" s="171">
        <f>SUM(H131:H136)</f>
        <v>8.5686530214309151</v>
      </c>
      <c r="P136" s="171">
        <f>SUM(I131:I136)</f>
        <v>8.0595836917304826</v>
      </c>
      <c r="Q136" t="s">
        <v>47</v>
      </c>
    </row>
    <row r="137" spans="4:20" ht="14.65" thickBot="1" x14ac:dyDescent="0.5">
      <c r="D137" s="178" t="s">
        <v>54</v>
      </c>
      <c r="E137" s="30" t="s">
        <v>285</v>
      </c>
      <c r="F137" s="823">
        <f>0.02*SUM(F131:F136)/1000*K137</f>
        <v>8.4915351442380362E-3</v>
      </c>
      <c r="G137" s="823">
        <f>0.02*SUM(G131:G136)/1000*K137</f>
        <v>7.9870474385049066E-3</v>
      </c>
      <c r="H137" s="222">
        <f>20*F137</f>
        <v>0.16983070288476071</v>
      </c>
      <c r="I137" s="745">
        <f>20*G137</f>
        <v>0.15974094877009815</v>
      </c>
      <c r="J137" s="592"/>
      <c r="K137" s="808">
        <f>$K$81</f>
        <v>0.99099999999999999</v>
      </c>
      <c r="L137" s="34"/>
      <c r="M137" s="34"/>
      <c r="O137" s="276">
        <f>O136*$M$64*$M$67</f>
        <v>0.65985351383943169</v>
      </c>
      <c r="P137" s="276">
        <f>P136*$M$64*$M$67</f>
        <v>0.62065118120318497</v>
      </c>
      <c r="Q137" t="s">
        <v>139</v>
      </c>
    </row>
    <row r="138" spans="4:20" ht="14.65" thickBot="1" x14ac:dyDescent="0.5">
      <c r="D138" s="178" t="s">
        <v>42</v>
      </c>
      <c r="E138" s="30" t="s">
        <v>285</v>
      </c>
      <c r="F138" s="823">
        <f>H27/1000</f>
        <v>7.4475721869650229E-3</v>
      </c>
      <c r="G138" s="823">
        <f>I27/1000</f>
        <v>7.0184638296788074E-3</v>
      </c>
      <c r="H138" s="222">
        <f>20*F138</f>
        <v>0.14895144373930047</v>
      </c>
      <c r="I138" s="745">
        <f>20*G138</f>
        <v>0.14036927659357615</v>
      </c>
      <c r="J138" s="592"/>
      <c r="K138" s="34"/>
      <c r="L138" s="34"/>
      <c r="M138" s="34"/>
      <c r="O138" s="276">
        <f>SUM(H137:H138)</f>
        <v>0.31878214662406118</v>
      </c>
      <c r="P138" s="276">
        <f>SUM(I137:I138)</f>
        <v>0.30011022536367427</v>
      </c>
      <c r="Q138" t="s">
        <v>151</v>
      </c>
    </row>
    <row r="139" spans="4:20" ht="14.65" thickBot="1" x14ac:dyDescent="0.5">
      <c r="D139" s="227"/>
      <c r="E139" s="30"/>
      <c r="F139" s="746"/>
      <c r="G139" s="93"/>
      <c r="H139" s="222"/>
      <c r="I139" s="745"/>
      <c r="J139" s="591"/>
      <c r="K139" s="34"/>
      <c r="L139" s="34"/>
      <c r="M139" s="34"/>
    </row>
    <row r="140" spans="4:20" ht="14.65" thickBot="1" x14ac:dyDescent="0.5">
      <c r="D140" s="270" t="s">
        <v>106</v>
      </c>
      <c r="E140" s="30"/>
      <c r="F140" s="746"/>
      <c r="G140" s="93"/>
      <c r="H140" s="222"/>
      <c r="I140" s="745"/>
      <c r="J140" s="591"/>
      <c r="K140" s="34"/>
      <c r="L140" s="34"/>
      <c r="M140" s="34"/>
    </row>
    <row r="141" spans="4:20" ht="14.65" thickBot="1" x14ac:dyDescent="0.5">
      <c r="D141" s="381" t="s">
        <v>275</v>
      </c>
      <c r="E141" s="30" t="s">
        <v>111</v>
      </c>
      <c r="F141" s="769">
        <f>67570*12/1000000*(1-E58)</f>
        <v>0.55957682764723471</v>
      </c>
      <c r="G141" s="748">
        <f>F141*(1-F58)</f>
        <v>0.52733557005896992</v>
      </c>
      <c r="H141" s="222"/>
      <c r="I141" s="745"/>
      <c r="J141" s="591"/>
      <c r="K141" s="34"/>
      <c r="L141" s="34"/>
      <c r="M141" s="34"/>
    </row>
    <row r="142" spans="4:20" ht="14.65" thickBot="1" x14ac:dyDescent="0.5">
      <c r="D142" s="178" t="s">
        <v>316</v>
      </c>
      <c r="E142" s="30" t="s">
        <v>111</v>
      </c>
      <c r="F142" s="769">
        <f>67570*48/1000000*(1-E58)</f>
        <v>2.2383073105889388</v>
      </c>
      <c r="G142" s="748">
        <f>F142*(1-F59)</f>
        <v>2.1093422802358792</v>
      </c>
      <c r="H142" s="222"/>
      <c r="I142" s="745"/>
      <c r="J142" s="591"/>
      <c r="K142" s="34"/>
      <c r="L142" s="34"/>
      <c r="M142" s="34"/>
      <c r="O142" s="45"/>
      <c r="P142" s="45"/>
    </row>
    <row r="143" spans="4:20" ht="14.65" thickBot="1" x14ac:dyDescent="0.5">
      <c r="D143" s="178" t="s">
        <v>315</v>
      </c>
      <c r="E143" s="789" t="s">
        <v>67</v>
      </c>
      <c r="F143" s="772">
        <v>10</v>
      </c>
      <c r="G143" s="12">
        <v>10</v>
      </c>
      <c r="H143" s="222"/>
      <c r="I143" s="745"/>
      <c r="J143" s="591"/>
      <c r="K143" s="34"/>
      <c r="L143" s="34"/>
      <c r="M143" s="34"/>
      <c r="O143" s="34"/>
      <c r="P143" s="34"/>
    </row>
    <row r="144" spans="4:20" ht="14.65" thickBot="1" x14ac:dyDescent="0.5">
      <c r="D144" s="178" t="s">
        <v>313</v>
      </c>
      <c r="E144" s="789" t="s">
        <v>43</v>
      </c>
      <c r="F144" s="772">
        <v>10</v>
      </c>
      <c r="G144" s="12">
        <v>10</v>
      </c>
      <c r="H144" s="222"/>
      <c r="I144" s="745"/>
      <c r="J144" s="591"/>
      <c r="K144" s="34"/>
      <c r="L144" s="34"/>
      <c r="M144" s="34"/>
      <c r="O144" s="34"/>
      <c r="P144" s="34"/>
    </row>
    <row r="145" spans="4:26" ht="14.65" thickBot="1" x14ac:dyDescent="0.5">
      <c r="D145" s="178" t="s">
        <v>276</v>
      </c>
      <c r="E145" s="30" t="s">
        <v>15</v>
      </c>
      <c r="F145" s="772">
        <f>F124*F141</f>
        <v>49.38265503986846</v>
      </c>
      <c r="G145" s="772">
        <f>G124*G141</f>
        <v>46.537364057704096</v>
      </c>
      <c r="H145" s="222">
        <f>F145/50</f>
        <v>0.98765310079736923</v>
      </c>
      <c r="I145" s="745">
        <f>G145/50</f>
        <v>0.9307472811540819</v>
      </c>
      <c r="J145" s="591"/>
      <c r="K145" s="34"/>
      <c r="L145" s="34"/>
      <c r="M145" s="34"/>
      <c r="O145" s="97">
        <f>SUM(H145:H146)</f>
        <v>1.6143791477622722</v>
      </c>
      <c r="P145" s="97">
        <f>SUM(I145:I146)</f>
        <v>1.521363119620128</v>
      </c>
      <c r="Q145" t="s">
        <v>47</v>
      </c>
      <c r="U145">
        <v>19.973790793856651</v>
      </c>
      <c r="V145">
        <v>18.308181531391494</v>
      </c>
    </row>
    <row r="146" spans="4:26" ht="14.65" thickBot="1" x14ac:dyDescent="0.5">
      <c r="D146" s="178" t="s">
        <v>314</v>
      </c>
      <c r="E146" s="30" t="s">
        <v>15</v>
      </c>
      <c r="F146" s="762">
        <f>(F127+(F143-1)*F144)*F142/F143</f>
        <v>31.336302348245141</v>
      </c>
      <c r="G146" s="762">
        <f>(G127+(G143-1)*G144)*G142/G143</f>
        <v>29.53079192330231</v>
      </c>
      <c r="H146" s="222">
        <f>F146/50</f>
        <v>0.62672604696490286</v>
      </c>
      <c r="I146" s="745">
        <f>G146/50</f>
        <v>0.59061583846604615</v>
      </c>
      <c r="J146" s="591"/>
      <c r="K146" s="34"/>
      <c r="L146" s="34"/>
      <c r="M146" s="34"/>
      <c r="O146" s="276">
        <f>O145*$M$64*$M$67</f>
        <v>0.12431986108618868</v>
      </c>
      <c r="P146" s="276">
        <f>P145*$M$64*$M$67</f>
        <v>0.11715689709879505</v>
      </c>
      <c r="Q146" t="s">
        <v>152</v>
      </c>
      <c r="U146">
        <v>32.469893922002605</v>
      </c>
      <c r="V146">
        <v>30.190628584861894</v>
      </c>
    </row>
    <row r="147" spans="4:26" ht="14.65" thickBot="1" x14ac:dyDescent="0.5">
      <c r="D147" s="178" t="s">
        <v>290</v>
      </c>
      <c r="E147" s="30" t="s">
        <v>284</v>
      </c>
      <c r="F147" s="752">
        <f>0.02*SUM(F145:F146)*K147/1000</f>
        <v>1.5998497354324118E-3</v>
      </c>
      <c r="G147" s="752">
        <f>0.02*SUM(G145:G146)*K147/1000</f>
        <v>1.5076708515435471E-3</v>
      </c>
      <c r="H147" s="222">
        <f>20*F147</f>
        <v>3.1996994708648238E-2</v>
      </c>
      <c r="I147" s="222">
        <f>20*G147</f>
        <v>3.015341703087094E-2</v>
      </c>
      <c r="J147" s="592"/>
      <c r="K147" s="808">
        <f>$K$81</f>
        <v>0.99099999999999999</v>
      </c>
      <c r="L147" s="34"/>
      <c r="M147" s="34"/>
      <c r="O147" s="278">
        <f>H147</f>
        <v>3.1996994708648238E-2</v>
      </c>
      <c r="P147" s="278">
        <f>I147</f>
        <v>3.015341703087094E-2</v>
      </c>
      <c r="Q147" t="s">
        <v>151</v>
      </c>
      <c r="W147">
        <v>2.1238089070843169</v>
      </c>
      <c r="X147">
        <v>1.5213795162109405</v>
      </c>
      <c r="Y147">
        <v>53.918984947133566</v>
      </c>
      <c r="Z147">
        <v>38.624585743014009</v>
      </c>
    </row>
    <row r="148" spans="4:26" ht="14.65" thickBot="1" x14ac:dyDescent="0.5">
      <c r="D148" s="227"/>
      <c r="E148" s="30"/>
      <c r="F148" s="746"/>
      <c r="G148" s="93"/>
      <c r="H148" s="222"/>
      <c r="I148" s="745"/>
      <c r="J148" s="591"/>
      <c r="K148" s="34"/>
      <c r="L148" s="34"/>
      <c r="M148" s="34"/>
      <c r="W148">
        <v>1.3749972109228505</v>
      </c>
      <c r="X148">
        <v>1.0612313897936725</v>
      </c>
      <c r="Y148">
        <v>34.90825077096094</v>
      </c>
      <c r="Z148">
        <v>26.942404818457128</v>
      </c>
    </row>
    <row r="149" spans="4:26" ht="14.65" thickBot="1" x14ac:dyDescent="0.5">
      <c r="D149" s="270" t="s">
        <v>32</v>
      </c>
      <c r="E149" s="239" t="s">
        <v>109</v>
      </c>
      <c r="F149" s="91">
        <v>0.13900000000000001</v>
      </c>
      <c r="G149" s="92">
        <v>0.13900000000000001</v>
      </c>
      <c r="H149" s="222">
        <f>20*F149</f>
        <v>2.7800000000000002</v>
      </c>
      <c r="I149" s="745">
        <f>20*G149</f>
        <v>2.7800000000000002</v>
      </c>
      <c r="J149" s="591"/>
      <c r="K149" s="34"/>
      <c r="L149" s="34"/>
      <c r="M149" s="34"/>
      <c r="O149" s="276">
        <f>H149*$M$64*$M$67</f>
        <v>0.21408181237887108</v>
      </c>
      <c r="P149" s="276">
        <f>I149*$M$64*$M$67</f>
        <v>0.21408181237887108</v>
      </c>
      <c r="Q149" t="s">
        <v>153</v>
      </c>
      <c r="W149">
        <v>1.6255254966072585</v>
      </c>
      <c r="X149">
        <v>1.2766701399669858</v>
      </c>
      <c r="Y149">
        <v>41.268630379309805</v>
      </c>
      <c r="Z149">
        <v>32.411935852476361</v>
      </c>
    </row>
    <row r="150" spans="4:26" ht="36.75" customHeight="1" thickBot="1" x14ac:dyDescent="0.5">
      <c r="D150" s="271" t="s">
        <v>52</v>
      </c>
      <c r="E150" s="239" t="s">
        <v>114</v>
      </c>
      <c r="F150" s="759">
        <v>0.1</v>
      </c>
      <c r="G150" s="773">
        <f>F150*(1+J150)</f>
        <v>0.1</v>
      </c>
      <c r="H150" s="222"/>
      <c r="I150" s="745"/>
      <c r="J150" s="591"/>
      <c r="K150" s="34"/>
      <c r="L150" s="34"/>
      <c r="M150" s="34"/>
    </row>
    <row r="151" spans="4:26" ht="14.65" thickBot="1" x14ac:dyDescent="0.5">
      <c r="D151" s="229"/>
      <c r="E151" s="30"/>
      <c r="F151" s="91"/>
      <c r="G151" s="93"/>
      <c r="H151" s="222"/>
      <c r="I151" s="745"/>
      <c r="J151" s="591"/>
      <c r="K151" s="34"/>
      <c r="L151" s="431"/>
      <c r="M151" s="34"/>
      <c r="U151">
        <v>34.023591386481094</v>
      </c>
      <c r="V151">
        <v>24.104595875930535</v>
      </c>
    </row>
    <row r="152" spans="4:26" ht="14.65" thickBot="1" x14ac:dyDescent="0.5">
      <c r="D152" s="271" t="s">
        <v>23</v>
      </c>
      <c r="E152" s="30" t="s">
        <v>29</v>
      </c>
      <c r="F152" s="759">
        <v>0.06</v>
      </c>
      <c r="G152" s="760">
        <v>0.06</v>
      </c>
      <c r="H152" s="222"/>
      <c r="I152" s="745"/>
      <c r="J152" s="591"/>
      <c r="K152" s="34"/>
      <c r="L152" s="813"/>
      <c r="M152" s="34"/>
      <c r="U152">
        <v>45.814583027361749</v>
      </c>
      <c r="V152">
        <v>35.281931442135637</v>
      </c>
    </row>
    <row r="153" spans="4:26" ht="14.65" thickBot="1" x14ac:dyDescent="0.5">
      <c r="D153" s="235"/>
      <c r="E153" s="30"/>
      <c r="F153" s="746"/>
      <c r="G153" s="93"/>
      <c r="H153" s="222"/>
      <c r="I153" s="745"/>
      <c r="J153" s="591"/>
      <c r="K153" s="34"/>
      <c r="L153" s="431"/>
      <c r="M153" s="34"/>
      <c r="W153">
        <v>2.644405736823324</v>
      </c>
      <c r="X153">
        <v>1.8348520590268371</v>
      </c>
      <c r="Y153">
        <v>67.135829707785362</v>
      </c>
      <c r="Z153">
        <v>46.582985983756082</v>
      </c>
    </row>
    <row r="154" spans="4:26" ht="14.65" thickBot="1" x14ac:dyDescent="0.5">
      <c r="D154" s="272" t="s">
        <v>101</v>
      </c>
      <c r="E154" s="105" t="s">
        <v>29</v>
      </c>
      <c r="F154" s="774">
        <v>0.65</v>
      </c>
      <c r="G154" s="775">
        <v>0.65</v>
      </c>
      <c r="H154" s="222"/>
      <c r="I154" s="745"/>
      <c r="J154" s="591"/>
      <c r="K154" s="34"/>
      <c r="L154" s="431"/>
      <c r="M154" s="34"/>
      <c r="T154" s="46"/>
      <c r="W154">
        <v>2.0320378064575473</v>
      </c>
      <c r="X154">
        <v>1.3025970723397124</v>
      </c>
      <c r="Y154">
        <v>51.589112152659872</v>
      </c>
      <c r="Z154">
        <v>33.070165447270561</v>
      </c>
    </row>
    <row r="155" spans="4:26" ht="14.65" thickBot="1" x14ac:dyDescent="0.5">
      <c r="D155" s="274" t="s">
        <v>63</v>
      </c>
      <c r="E155" s="236" t="s">
        <v>53</v>
      </c>
      <c r="F155" s="31"/>
      <c r="G155" s="31"/>
      <c r="H155" s="31">
        <f>20*8760*F154</f>
        <v>113880</v>
      </c>
      <c r="I155" s="31">
        <f>20*8760*G154</f>
        <v>113880</v>
      </c>
      <c r="J155" s="592"/>
      <c r="K155" s="34"/>
      <c r="L155" s="813"/>
      <c r="M155" s="34"/>
      <c r="O155" s="25"/>
      <c r="P155" s="25"/>
      <c r="W155">
        <v>2.2991448568412522</v>
      </c>
      <c r="X155">
        <v>1.5219194201238668</v>
      </c>
      <c r="Y155">
        <v>58.370391287930239</v>
      </c>
      <c r="Z155">
        <v>38.638292753497325</v>
      </c>
    </row>
    <row r="156" spans="4:26" ht="14.65" thickBot="1" x14ac:dyDescent="0.5">
      <c r="D156" s="273" t="s">
        <v>103</v>
      </c>
      <c r="E156" s="236" t="s">
        <v>134</v>
      </c>
      <c r="F156" s="31"/>
      <c r="G156" s="31"/>
      <c r="H156" s="43">
        <f>H155*F103*3.6*1000/141.8/1000</f>
        <v>2312.9365303244003</v>
      </c>
      <c r="I156" s="43">
        <f>I155*G103*3.6*1000/141.8/1000</f>
        <v>2529.7743300423131</v>
      </c>
      <c r="J156" s="592"/>
      <c r="K156" s="40"/>
      <c r="L156" s="40"/>
      <c r="M156" s="40"/>
    </row>
    <row r="157" spans="4:26" ht="14.65" thickBot="1" x14ac:dyDescent="0.5">
      <c r="D157" s="234"/>
    </row>
    <row r="158" spans="4:26" ht="14.65" thickBot="1" x14ac:dyDescent="0.5">
      <c r="D158" s="240" t="s">
        <v>160</v>
      </c>
      <c r="E158" s="952" t="s">
        <v>47</v>
      </c>
      <c r="F158" s="954"/>
      <c r="G158" s="952" t="s">
        <v>146</v>
      </c>
      <c r="H158" s="953"/>
      <c r="I158" s="954" t="s">
        <v>139</v>
      </c>
      <c r="J158" s="954"/>
      <c r="K158" s="952" t="s">
        <v>147</v>
      </c>
      <c r="L158" s="953"/>
      <c r="M158" s="952" t="s">
        <v>71</v>
      </c>
      <c r="N158" s="953"/>
      <c r="O158" s="964" t="s">
        <v>149</v>
      </c>
      <c r="P158" s="965"/>
      <c r="Q158" s="847" t="s">
        <v>10</v>
      </c>
      <c r="R158" s="848"/>
      <c r="S158" s="846" t="s">
        <v>25</v>
      </c>
      <c r="T158" s="835"/>
      <c r="U158" s="846" t="s">
        <v>131</v>
      </c>
      <c r="V158" s="835"/>
      <c r="W158" s="846" t="s">
        <v>361</v>
      </c>
      <c r="X158" s="835"/>
      <c r="Z158" t="s">
        <v>310</v>
      </c>
    </row>
    <row r="159" spans="4:26" ht="14.65" thickBot="1" x14ac:dyDescent="0.5">
      <c r="D159" s="241"/>
      <c r="E159" s="955" t="s">
        <v>9</v>
      </c>
      <c r="F159" s="945"/>
      <c r="G159" s="955" t="s">
        <v>9</v>
      </c>
      <c r="H159" s="945"/>
      <c r="I159" s="955" t="s">
        <v>145</v>
      </c>
      <c r="J159" s="945"/>
      <c r="K159" s="955" t="s">
        <v>145</v>
      </c>
      <c r="L159" s="945"/>
      <c r="M159" s="955" t="s">
        <v>145</v>
      </c>
      <c r="N159" s="945"/>
      <c r="O159" s="955" t="s">
        <v>145</v>
      </c>
      <c r="P159" s="945"/>
      <c r="Q159" s="955" t="s">
        <v>145</v>
      </c>
      <c r="R159" s="945"/>
      <c r="S159" s="955" t="s">
        <v>40</v>
      </c>
      <c r="T159" s="945"/>
      <c r="U159" s="833" t="s">
        <v>49</v>
      </c>
      <c r="V159" s="832"/>
      <c r="W159" s="833" t="s">
        <v>155</v>
      </c>
      <c r="X159" s="832"/>
      <c r="Z159" s="742">
        <v>1</v>
      </c>
    </row>
    <row r="160" spans="4:26" ht="14.65" thickBot="1" x14ac:dyDescent="0.5">
      <c r="E160" s="246">
        <v>2035</v>
      </c>
      <c r="F160" s="247">
        <v>2050</v>
      </c>
      <c r="G160" s="260">
        <v>2035</v>
      </c>
      <c r="H160" s="247">
        <v>2050</v>
      </c>
      <c r="I160" s="246">
        <v>2035</v>
      </c>
      <c r="J160" s="247">
        <v>2050</v>
      </c>
      <c r="K160" s="246">
        <v>2035</v>
      </c>
      <c r="L160" s="247">
        <v>2050</v>
      </c>
      <c r="M160" s="246">
        <v>2035</v>
      </c>
      <c r="N160" s="247">
        <v>2050</v>
      </c>
      <c r="O160" s="246">
        <v>2035</v>
      </c>
      <c r="P160" s="247">
        <v>2050</v>
      </c>
      <c r="Q160" s="836">
        <v>2035</v>
      </c>
      <c r="R160" s="837">
        <v>2050</v>
      </c>
      <c r="S160" s="830">
        <v>2035</v>
      </c>
      <c r="T160" s="831">
        <v>2050</v>
      </c>
      <c r="U160" s="830">
        <v>2035</v>
      </c>
      <c r="V160" s="831">
        <v>2050</v>
      </c>
      <c r="W160" s="830">
        <v>2035</v>
      </c>
      <c r="X160" s="831">
        <v>2050</v>
      </c>
    </row>
    <row r="161" spans="3:24" x14ac:dyDescent="0.45">
      <c r="C161" s="975" t="s">
        <v>140</v>
      </c>
      <c r="D161" s="243" t="s">
        <v>138</v>
      </c>
      <c r="E161" s="626">
        <f>O77+O90</f>
        <v>21.963541476494036</v>
      </c>
      <c r="F161" s="257">
        <f>P77+P90</f>
        <v>19.994306047158076</v>
      </c>
      <c r="G161" s="257">
        <f>H$149*$E$161/$E$162+$F$150*E161</f>
        <v>4.196166028475826</v>
      </c>
      <c r="H161" s="302">
        <f>I$149*$E$161/$E$162+$F$150*F161</f>
        <v>3.9992424855422293</v>
      </c>
      <c r="I161" s="295">
        <f>O78+O91</f>
        <v>1.6913650235778235</v>
      </c>
      <c r="J161" s="257">
        <f>P78+P91</f>
        <v>1.5397184445443965</v>
      </c>
      <c r="K161" s="622">
        <f t="shared" ref="K161:L165" si="13">G161*$M$64*$M$67</f>
        <v>0.32313770806430014</v>
      </c>
      <c r="L161" s="305">
        <f t="shared" si="13"/>
        <v>0.30797305016095738</v>
      </c>
      <c r="M161" s="284">
        <f>(O81+O92)*$Z$159</f>
        <v>0.50743751590069819</v>
      </c>
      <c r="N161" s="284">
        <f>(P81+P92)*$Z$159</f>
        <v>0.45801807383189508</v>
      </c>
      <c r="O161" s="56"/>
      <c r="P161" s="56"/>
      <c r="Q161" s="84">
        <f>SUM(M161,K161,I161,O161)</f>
        <v>2.5219402475428216</v>
      </c>
      <c r="R161" s="79">
        <f>SUM(N161,L161,J161,P161)</f>
        <v>2.3057095685372491</v>
      </c>
      <c r="S161" s="257">
        <f>Q161*1000000/$H$155</f>
        <v>22.145594024787687</v>
      </c>
      <c r="T161" s="296">
        <f>R161*1000000/$I$155</f>
        <v>20.246834988911566</v>
      </c>
      <c r="U161" s="249"/>
      <c r="V161" s="248"/>
      <c r="W161" s="19"/>
      <c r="X161" s="21"/>
    </row>
    <row r="162" spans="3:24" x14ac:dyDescent="0.45">
      <c r="C162" s="976"/>
      <c r="D162" s="244" t="s">
        <v>141</v>
      </c>
      <c r="E162" s="627">
        <f>E161+O136</f>
        <v>30.532194497924952</v>
      </c>
      <c r="F162" s="255">
        <v>0</v>
      </c>
      <c r="G162" s="627">
        <f>$H$149+$F$150*E162</f>
        <v>5.8332194497924954</v>
      </c>
      <c r="H162" s="303">
        <f>$I$149+$G$150*F162</f>
        <v>2.7800000000000002</v>
      </c>
      <c r="I162" s="258">
        <f>I161+O137</f>
        <v>2.351218537417255</v>
      </c>
      <c r="J162" s="255">
        <f>J161+P137</f>
        <v>2.1603696257475815</v>
      </c>
      <c r="K162" s="623">
        <f t="shared" si="13"/>
        <v>0.44920366612059659</v>
      </c>
      <c r="L162" s="306">
        <f t="shared" si="13"/>
        <v>0.21408181237887108</v>
      </c>
      <c r="M162" s="264">
        <f>(M161+O138)*$Z$159</f>
        <v>0.82621966252475931</v>
      </c>
      <c r="N162" s="264">
        <f>(N161+P138)*$Z$159</f>
        <v>0.75812829919556934</v>
      </c>
      <c r="O162" s="35"/>
      <c r="P162" s="35"/>
      <c r="Q162" s="85">
        <f>SUM(M162,K162,I162,O162)</f>
        <v>3.6266418660626107</v>
      </c>
      <c r="R162" s="80">
        <f>SUM(N162,L162,J162,P162)</f>
        <v>3.1325797373220219</v>
      </c>
      <c r="S162" s="255">
        <f>Q162*1000000/$H$155</f>
        <v>31.846170232372767</v>
      </c>
      <c r="T162" s="297">
        <f>R162*1000000/$I$155</f>
        <v>27.507725125764154</v>
      </c>
      <c r="U162" s="628"/>
      <c r="V162" s="247"/>
      <c r="W162" s="47"/>
      <c r="X162" s="48"/>
    </row>
    <row r="163" spans="3:24" x14ac:dyDescent="0.45">
      <c r="C163" s="976"/>
      <c r="D163" s="244" t="s">
        <v>144</v>
      </c>
      <c r="E163" s="255">
        <f>E162+O107+O118</f>
        <v>37.162194497924958</v>
      </c>
      <c r="F163" s="255">
        <f>F162+P107+P118</f>
        <v>4.629999999999999</v>
      </c>
      <c r="G163" s="255">
        <f>$H$149+$F$150*E163</f>
        <v>6.4962194497924965</v>
      </c>
      <c r="H163" s="303">
        <f>$I$149+$G$150*F163</f>
        <v>3.2430000000000003</v>
      </c>
      <c r="I163" s="258">
        <f>I162+O108+O119</f>
        <v>3.0748202499424013</v>
      </c>
      <c r="J163" s="255">
        <f>J162+P110+P122</f>
        <v>2.1603696257475815</v>
      </c>
      <c r="K163" s="623">
        <f t="shared" si="13"/>
        <v>0.50025986813757206</v>
      </c>
      <c r="L163" s="306">
        <f t="shared" si="13"/>
        <v>0.24973644515995649</v>
      </c>
      <c r="M163" s="264">
        <f>(M162+O109+O120)*$Z$159</f>
        <v>1.2553128595434444</v>
      </c>
      <c r="N163" s="264">
        <f>(N162+P109+P120)*$Z$159</f>
        <v>1.1214576478866687</v>
      </c>
      <c r="O163" s="149" t="s">
        <v>301</v>
      </c>
      <c r="P163" s="149" t="s">
        <v>301</v>
      </c>
      <c r="Q163" s="85">
        <f t="shared" ref="Q163:R165" si="14">SUM(O163,M163,K163,I163)</f>
        <v>4.8303929776234176</v>
      </c>
      <c r="R163" s="80">
        <f t="shared" si="14"/>
        <v>3.5315637187942066</v>
      </c>
      <c r="S163" s="250"/>
      <c r="T163" s="247"/>
      <c r="U163" s="264">
        <f>Q163*1000000/($H$156*1000)</f>
        <v>2.0884243533245299</v>
      </c>
      <c r="V163" s="264">
        <f>R163*1000000/($I$156*1000)</f>
        <v>1.395999507487744</v>
      </c>
      <c r="W163" s="298">
        <f t="shared" ref="W163:X165" si="15">U163/141.8*3.6*1000</f>
        <v>53.020646487787779</v>
      </c>
      <c r="X163" s="142">
        <f t="shared" si="15"/>
        <v>35.441454350887717</v>
      </c>
    </row>
    <row r="164" spans="3:24" x14ac:dyDescent="0.45">
      <c r="C164" s="976"/>
      <c r="D164" s="47" t="s">
        <v>294</v>
      </c>
      <c r="E164" s="627">
        <f>E161+O107</f>
        <v>27.963541476494036</v>
      </c>
      <c r="F164" s="255">
        <f>F161+P106</f>
        <v>19.994306047158076</v>
      </c>
      <c r="G164" s="255">
        <f>$H$149+$F$150*E164</f>
        <v>5.5763541476494041</v>
      </c>
      <c r="H164" s="303">
        <f>$I$149+$G$150*F164</f>
        <v>4.7794306047158077</v>
      </c>
      <c r="I164" s="258">
        <f>I161+O108</f>
        <v>2.3462082023336119</v>
      </c>
      <c r="J164" s="255">
        <f>J161+P108</f>
        <v>1.9762805637149219</v>
      </c>
      <c r="K164" s="623">
        <f t="shared" si="13"/>
        <v>0.42942302244432351</v>
      </c>
      <c r="L164" s="306">
        <f t="shared" si="13"/>
        <v>0.36805365683331076</v>
      </c>
      <c r="M164" s="264">
        <f>(M161+O109)*$Z$159</f>
        <v>0.62635751590069821</v>
      </c>
      <c r="N164" s="264">
        <f>(N161+P109)*$Z$159</f>
        <v>0.5372980738318951</v>
      </c>
      <c r="O164" s="149"/>
      <c r="P164" s="149"/>
      <c r="Q164" s="85">
        <f t="shared" si="14"/>
        <v>3.4019887406786338</v>
      </c>
      <c r="R164" s="80">
        <f t="shared" si="14"/>
        <v>2.881632294380128</v>
      </c>
      <c r="S164" s="246"/>
      <c r="T164" s="247"/>
      <c r="U164" s="264">
        <f>Q164*1000000/($H$156*1000)</f>
        <v>1.4708526135827378</v>
      </c>
      <c r="V164" s="281">
        <f>SUM(P164,N164,L164,J164)*1000000/($I$156*1000)</f>
        <v>1.1390867004061702</v>
      </c>
      <c r="W164" s="298">
        <f t="shared" si="15"/>
        <v>37.341815295471484</v>
      </c>
      <c r="X164" s="142">
        <f t="shared" si="15"/>
        <v>28.918985341764547</v>
      </c>
    </row>
    <row r="165" spans="3:24" ht="14.65" thickBot="1" x14ac:dyDescent="0.5">
      <c r="C165" s="977"/>
      <c r="D165" s="245" t="s">
        <v>292</v>
      </c>
      <c r="E165" s="259">
        <f>E164+O118+O145</f>
        <v>30.207920624256307</v>
      </c>
      <c r="F165" s="259">
        <f>F164+P118+P145</f>
        <v>22.145669166778205</v>
      </c>
      <c r="G165" s="259">
        <f>$H$149+$F$150*E165</f>
        <v>5.8007920624256313</v>
      </c>
      <c r="H165" s="304">
        <f>$I$149+$G$150*F165</f>
        <v>4.9945669166778206</v>
      </c>
      <c r="I165" s="301">
        <f>I164+O119+O146</f>
        <v>2.5392865971891587</v>
      </c>
      <c r="J165" s="259">
        <f>J164+P119+P146</f>
        <v>2.1621959945830747</v>
      </c>
      <c r="K165" s="624">
        <f t="shared" si="13"/>
        <v>0.44670650286224767</v>
      </c>
      <c r="L165" s="307">
        <f t="shared" si="13"/>
        <v>0.38462084085249559</v>
      </c>
      <c r="M165" s="283">
        <f>(M164+O147+O120)*$Z$159</f>
        <v>0.96852770762803142</v>
      </c>
      <c r="N165" s="283">
        <f>(N164+P147+P120)*$Z$159</f>
        <v>0.85150083955386524</v>
      </c>
      <c r="O165" s="149" t="s">
        <v>301</v>
      </c>
      <c r="P165" s="149" t="s">
        <v>301</v>
      </c>
      <c r="Q165" s="86">
        <f t="shared" si="14"/>
        <v>3.9545208076794376</v>
      </c>
      <c r="R165" s="81">
        <f t="shared" si="14"/>
        <v>3.3983176749894355</v>
      </c>
      <c r="S165" s="253"/>
      <c r="T165" s="252"/>
      <c r="U165" s="264">
        <f>Q165*1000000/($H$156*1000)</f>
        <v>1.7097403045144508</v>
      </c>
      <c r="V165" s="281">
        <f>SUM(P165,N165,L165,J165)*1000000/($I$156*1000)</f>
        <v>1.3433283888735623</v>
      </c>
      <c r="W165" s="298">
        <f t="shared" si="15"/>
        <v>43.406664994725126</v>
      </c>
      <c r="X165" s="142">
        <f t="shared" si="15"/>
        <v>34.10424682612711</v>
      </c>
    </row>
    <row r="166" spans="3:24" ht="14.65" thickBot="1" x14ac:dyDescent="0.5">
      <c r="C166" s="254"/>
      <c r="D166" s="244"/>
      <c r="E166" s="256"/>
      <c r="F166" s="261"/>
      <c r="G166" s="256"/>
      <c r="H166" s="261"/>
      <c r="I166" s="256"/>
      <c r="J166" s="261"/>
      <c r="K166" s="256"/>
      <c r="L166" s="247"/>
      <c r="M166" s="256"/>
      <c r="N166" s="261"/>
      <c r="O166" s="262"/>
      <c r="P166" s="285"/>
      <c r="Q166" s="834"/>
      <c r="R166" s="834"/>
      <c r="S166" s="838"/>
      <c r="T166" s="838"/>
      <c r="U166" s="285"/>
      <c r="V166" s="263"/>
      <c r="W166" s="262"/>
      <c r="X166" s="263"/>
    </row>
    <row r="167" spans="3:24" x14ac:dyDescent="0.45">
      <c r="C167" s="975" t="s">
        <v>129</v>
      </c>
      <c r="D167" s="243" t="s">
        <v>138</v>
      </c>
      <c r="E167" s="257">
        <f>O79+O96</f>
        <v>33.270994584483887</v>
      </c>
      <c r="F167" s="257">
        <f>P77+P96</f>
        <v>22.176457158808731</v>
      </c>
      <c r="G167" s="257">
        <f>$H$149+$F$150*E167</f>
        <v>6.1070994584483893</v>
      </c>
      <c r="H167" s="302">
        <f>$I$149+$G$150*F167</f>
        <v>4.9976457158808731</v>
      </c>
      <c r="I167" s="295">
        <f>O80+O97</f>
        <v>2.5621276331992506</v>
      </c>
      <c r="J167" s="302">
        <f>P78+P97</f>
        <v>1.707761201690706</v>
      </c>
      <c r="K167" s="622">
        <f t="shared" ref="K167:L171" si="16">G167*$M$64*$M$67</f>
        <v>0.47029457569879618</v>
      </c>
      <c r="L167" s="305">
        <f t="shared" si="16"/>
        <v>0.38485793254794171</v>
      </c>
      <c r="M167" s="284">
        <f>(O81+O98)*$Z$159</f>
        <v>0.80327244778373286</v>
      </c>
      <c r="N167" s="284">
        <f>(P81+P98)*$Z$159</f>
        <v>0.56646918960952708</v>
      </c>
      <c r="O167" s="56"/>
      <c r="P167" s="56"/>
      <c r="Q167" s="84">
        <f>SUM(M167,K167,I167,O167)</f>
        <v>3.8356946566817798</v>
      </c>
      <c r="R167" s="79">
        <f>SUM(N167,L167,J167,P167)</f>
        <v>2.6590883238481746</v>
      </c>
      <c r="S167" s="257">
        <f>Q167*1000000/$H$155</f>
        <v>33.681898987370737</v>
      </c>
      <c r="T167" s="296">
        <f>R167*1000000/$I$155</f>
        <v>23.349915032035252</v>
      </c>
      <c r="U167" s="412"/>
      <c r="V167" s="248"/>
      <c r="W167" s="23"/>
      <c r="X167" s="24"/>
    </row>
    <row r="168" spans="3:24" x14ac:dyDescent="0.45">
      <c r="C168" s="976"/>
      <c r="D168" s="244" t="s">
        <v>141</v>
      </c>
      <c r="E168" s="255">
        <f>E167+O136</f>
        <v>41.839647605914806</v>
      </c>
      <c r="F168" s="255">
        <f>F167+P136</f>
        <v>30.236040850539212</v>
      </c>
      <c r="G168" s="255">
        <f>$H$149+$F$150*E168</f>
        <v>6.9639647605914812</v>
      </c>
      <c r="H168" s="303">
        <f>$I$149+$G$150*F168</f>
        <v>5.8036040850539212</v>
      </c>
      <c r="I168" s="258">
        <f>I167+O137</f>
        <v>3.2219811470386821</v>
      </c>
      <c r="J168" s="303">
        <f>J167+P137</f>
        <v>2.328412382893891</v>
      </c>
      <c r="K168" s="623">
        <f t="shared" si="16"/>
        <v>0.53627992708273942</v>
      </c>
      <c r="L168" s="306">
        <f t="shared" si="16"/>
        <v>0.44692305066826016</v>
      </c>
      <c r="M168" s="264">
        <f>(M167+O138)*$Z$159</f>
        <v>1.122054594407794</v>
      </c>
      <c r="N168" s="264">
        <f>(N167+P138)*$Z$159</f>
        <v>0.86657941497320135</v>
      </c>
      <c r="O168" s="35"/>
      <c r="P168" s="35"/>
      <c r="Q168" s="85">
        <f>SUM(M168,K168,I168,O168)</f>
        <v>4.8803156685292155</v>
      </c>
      <c r="R168" s="80">
        <f>SUM(N168,L168,J168,P168)</f>
        <v>3.6419148485353525</v>
      </c>
      <c r="S168" s="255">
        <f>Q168*1000000/$H$155</f>
        <v>42.85489698392356</v>
      </c>
      <c r="T168" s="297">
        <f>R168*1000000/$I$155</f>
        <v>31.98028493620787</v>
      </c>
      <c r="U168" s="246"/>
      <c r="V168" s="247"/>
      <c r="W168" s="23"/>
      <c r="X168" s="24"/>
    </row>
    <row r="169" spans="3:24" x14ac:dyDescent="0.45">
      <c r="C169" s="976"/>
      <c r="D169" s="244" t="s">
        <v>144</v>
      </c>
      <c r="E169" s="255">
        <f>E168+O107+O118</f>
        <v>48.469647605914808</v>
      </c>
      <c r="F169" s="255">
        <f>F168+P107+P118</f>
        <v>34.866040850539214</v>
      </c>
      <c r="G169" s="255">
        <f>$H$149+$F$150*E169</f>
        <v>7.6269647605914814</v>
      </c>
      <c r="H169" s="303">
        <f>$I$149+$G$150*F169</f>
        <v>6.2666040850539222</v>
      </c>
      <c r="I169" s="258">
        <f>I168+O108+O119</f>
        <v>3.9455828595638285</v>
      </c>
      <c r="J169" s="303">
        <f>J168+P108+P119</f>
        <v>2.8337330358337742</v>
      </c>
      <c r="K169" s="623">
        <f t="shared" si="16"/>
        <v>0.58733612909971478</v>
      </c>
      <c r="L169" s="306">
        <f t="shared" si="16"/>
        <v>0.4825776834493456</v>
      </c>
      <c r="M169" s="264">
        <f>(M168+O109)*$Z$159</f>
        <v>1.2409745944077939</v>
      </c>
      <c r="N169" s="264">
        <f>(N168+P109)*$Z$159</f>
        <v>0.94585941497320136</v>
      </c>
      <c r="O169" s="149" t="s">
        <v>301</v>
      </c>
      <c r="P169" s="149" t="s">
        <v>301</v>
      </c>
      <c r="Q169" s="85">
        <f t="shared" ref="Q169:R171" si="17">SUM(O169,M169,K169,I169)</f>
        <v>5.7738935830713372</v>
      </c>
      <c r="R169" s="80">
        <f t="shared" si="17"/>
        <v>4.262170134256321</v>
      </c>
      <c r="S169" s="246"/>
      <c r="T169" s="247"/>
      <c r="U169" s="250">
        <f>Q169*1000000/($H$156*1000)</f>
        <v>2.4963476115194223</v>
      </c>
      <c r="V169" s="281">
        <f>R169*1000000/($I$156*1000)</f>
        <v>1.6848025073386812</v>
      </c>
      <c r="W169" s="298">
        <f t="shared" ref="W169:X171" si="18">U169/141.8*3.6*1000</f>
        <v>63.37694923462567</v>
      </c>
      <c r="X169" s="147">
        <f t="shared" si="18"/>
        <v>42.773547435960879</v>
      </c>
    </row>
    <row r="170" spans="3:24" x14ac:dyDescent="0.45">
      <c r="C170" s="976"/>
      <c r="D170" s="47" t="s">
        <v>293</v>
      </c>
      <c r="E170" s="255">
        <f>E167+O107</f>
        <v>39.270994584483887</v>
      </c>
      <c r="F170" s="255">
        <f>F167+P107</f>
        <v>26.176457158808731</v>
      </c>
      <c r="G170" s="255">
        <f>$H$149+$F$150*E170</f>
        <v>6.707099458448389</v>
      </c>
      <c r="H170" s="303">
        <f>$I$149+$G$150*F170</f>
        <v>5.3976457158808735</v>
      </c>
      <c r="I170" s="258">
        <f>I167+O108</f>
        <v>3.2169708119550391</v>
      </c>
      <c r="J170" s="303">
        <f>J167+P108</f>
        <v>2.1443233208612313</v>
      </c>
      <c r="K170" s="623">
        <f t="shared" si="16"/>
        <v>0.51649928340646611</v>
      </c>
      <c r="L170" s="306">
        <f t="shared" si="16"/>
        <v>0.41566107101972172</v>
      </c>
      <c r="M170" s="264">
        <f>(M167+O109)*$Z$159</f>
        <v>0.92219244778373288</v>
      </c>
      <c r="N170" s="264">
        <f>(N167+P109)*$Z$159</f>
        <v>0.6457491896095271</v>
      </c>
      <c r="O170" s="149"/>
      <c r="P170" s="149"/>
      <c r="Q170" s="85">
        <f t="shared" si="17"/>
        <v>4.6556625431452385</v>
      </c>
      <c r="R170" s="80">
        <f t="shared" si="17"/>
        <v>3.2057335814904802</v>
      </c>
      <c r="S170" s="246"/>
      <c r="T170" s="247"/>
      <c r="U170" s="250">
        <f>Q170*1000000/($H$156*1000)</f>
        <v>2.0128795071139542</v>
      </c>
      <c r="V170" s="281">
        <f>R170*1000000/($I$156*1000)</f>
        <v>1.2672014034694001</v>
      </c>
      <c r="W170" s="298">
        <f t="shared" si="18"/>
        <v>51.102723734909979</v>
      </c>
      <c r="X170" s="142">
        <f t="shared" si="18"/>
        <v>32.171544798941042</v>
      </c>
    </row>
    <row r="171" spans="3:24" ht="14.65" thickBot="1" x14ac:dyDescent="0.5">
      <c r="C171" s="977"/>
      <c r="D171" s="245" t="s">
        <v>292</v>
      </c>
      <c r="E171" s="259">
        <f>E170+O118+O145</f>
        <v>41.515373732246161</v>
      </c>
      <c r="F171" s="259">
        <f>F170+P118+P145</f>
        <v>28.32782027842886</v>
      </c>
      <c r="G171" s="259">
        <f>$H$149+$F$150*E171</f>
        <v>6.9315373732246162</v>
      </c>
      <c r="H171" s="304">
        <f>$I$149+$G$150*F171</f>
        <v>5.6127820278428864</v>
      </c>
      <c r="I171" s="301">
        <f>I170+O119+O146</f>
        <v>3.4100492068105859</v>
      </c>
      <c r="J171" s="304">
        <f>J170+P119+P146</f>
        <v>2.3302387517293841</v>
      </c>
      <c r="K171" s="624">
        <f t="shared" si="16"/>
        <v>0.53378276382439027</v>
      </c>
      <c r="L171" s="307">
        <f t="shared" si="16"/>
        <v>0.43222825503890661</v>
      </c>
      <c r="M171" s="283">
        <f>(M170+O121+O147)*$Z$159</f>
        <v>1.2958482740951127</v>
      </c>
      <c r="N171" s="283">
        <f>(N170+P121+P147)*$Z$159</f>
        <v>0.9652115171303951</v>
      </c>
      <c r="O171" s="286" t="s">
        <v>301</v>
      </c>
      <c r="P171" s="286" t="s">
        <v>301</v>
      </c>
      <c r="Q171" s="86">
        <f t="shared" si="17"/>
        <v>5.2396802447300885</v>
      </c>
      <c r="R171" s="81">
        <f t="shared" si="17"/>
        <v>3.7276785238986858</v>
      </c>
      <c r="S171" s="253"/>
      <c r="T171" s="252"/>
      <c r="U171" s="251">
        <f>Q171*1000000/($H$156*1000)</f>
        <v>2.2653800379015152</v>
      </c>
      <c r="V171" s="282">
        <f>R171*1000000/($I$156*1000)</f>
        <v>1.4735221555656852</v>
      </c>
      <c r="W171" s="299">
        <f t="shared" si="18"/>
        <v>57.513174446018716</v>
      </c>
      <c r="X171" s="144">
        <f t="shared" si="18"/>
        <v>37.409589280934178</v>
      </c>
    </row>
    <row r="172" spans="3:24" x14ac:dyDescent="0.45">
      <c r="C172" s="279"/>
      <c r="D172" s="280"/>
      <c r="E172" s="258"/>
      <c r="F172" s="258"/>
      <c r="G172" s="258"/>
      <c r="H172" s="258"/>
      <c r="I172" s="258"/>
      <c r="J172" s="258"/>
      <c r="K172" s="258"/>
      <c r="L172" s="258"/>
      <c r="M172" s="258"/>
      <c r="N172" s="258"/>
      <c r="O172" s="33"/>
      <c r="P172" s="33"/>
      <c r="Q172" s="129"/>
      <c r="R172" s="129"/>
      <c r="S172" s="264"/>
      <c r="T172" s="129"/>
    </row>
    <row r="173" spans="3:24" ht="14.65" thickBot="1" x14ac:dyDescent="0.5">
      <c r="G173" s="242"/>
      <c r="H173" s="288"/>
      <c r="I173" s="242"/>
      <c r="J173" s="242"/>
      <c r="K173" s="242"/>
      <c r="L173" s="242"/>
      <c r="P173" s="242"/>
      <c r="Q173" s="242"/>
      <c r="R173" s="242"/>
      <c r="S173" s="242"/>
      <c r="T173" s="242"/>
    </row>
    <row r="174" spans="3:24" ht="14.65" thickBot="1" x14ac:dyDescent="0.5">
      <c r="D174" s="300" t="s">
        <v>355</v>
      </c>
      <c r="E174" s="32">
        <f>Results!D4</f>
        <v>75</v>
      </c>
      <c r="F174" s="30" t="s">
        <v>363</v>
      </c>
      <c r="G174" s="189"/>
      <c r="H174" s="242"/>
      <c r="I174" s="242"/>
      <c r="J174" s="242"/>
      <c r="K174" s="242"/>
      <c r="L174" s="242"/>
      <c r="P174" s="242"/>
      <c r="Q174" s="242"/>
      <c r="R174" s="242"/>
      <c r="S174" s="242"/>
      <c r="T174" s="242"/>
    </row>
    <row r="175" spans="3:24" ht="14.65" thickBot="1" x14ac:dyDescent="0.5">
      <c r="D175" s="8"/>
      <c r="H175" s="8"/>
      <c r="M175" s="16"/>
      <c r="N175" s="16"/>
      <c r="O175" s="16"/>
      <c r="P175" s="16"/>
      <c r="Q175" s="16"/>
      <c r="R175" s="16"/>
    </row>
    <row r="176" spans="3:24" ht="14.65" thickBot="1" x14ac:dyDescent="0.5">
      <c r="D176" s="386" t="s">
        <v>331</v>
      </c>
      <c r="E176" s="31">
        <v>11.7</v>
      </c>
      <c r="F176" s="32" t="s">
        <v>30</v>
      </c>
      <c r="K176" s="16"/>
    </row>
    <row r="177" spans="2:29" ht="14.65" thickBot="1" x14ac:dyDescent="0.5">
      <c r="D177" s="313" t="s">
        <v>332</v>
      </c>
      <c r="E177" s="36">
        <v>7.85</v>
      </c>
      <c r="F177" s="32" t="s">
        <v>157</v>
      </c>
    </row>
    <row r="178" spans="2:29" ht="14.65" thickBot="1" x14ac:dyDescent="0.5">
      <c r="D178" s="386" t="s">
        <v>333</v>
      </c>
      <c r="E178" s="53">
        <v>0.06</v>
      </c>
      <c r="F178" s="32" t="s">
        <v>334</v>
      </c>
    </row>
    <row r="179" spans="2:29" ht="14.65" thickBot="1" x14ac:dyDescent="0.5">
      <c r="D179" s="8"/>
      <c r="F179" s="416"/>
    </row>
    <row r="180" spans="2:29" ht="14.65" thickBot="1" x14ac:dyDescent="0.5">
      <c r="D180" s="220" t="s">
        <v>31</v>
      </c>
      <c r="E180" s="784">
        <f>$E$174</f>
        <v>75</v>
      </c>
      <c r="F180" s="801">
        <v>30</v>
      </c>
      <c r="G180" s="803">
        <v>45</v>
      </c>
      <c r="H180" s="108">
        <v>60</v>
      </c>
      <c r="I180" s="785">
        <v>75</v>
      </c>
      <c r="J180" s="490">
        <v>90</v>
      </c>
      <c r="K180" s="108">
        <v>105</v>
      </c>
      <c r="L180" s="108">
        <v>120</v>
      </c>
      <c r="O180" s="16"/>
    </row>
    <row r="181" spans="2:29" ht="14.65" thickBot="1" x14ac:dyDescent="0.5">
      <c r="D181" s="198" t="s">
        <v>216</v>
      </c>
      <c r="E181" s="56">
        <f>IF(E180&lt;20,40,2*E180)</f>
        <v>150</v>
      </c>
      <c r="F181" s="644">
        <f t="shared" ref="F181:L181" si="19">2*F180</f>
        <v>60</v>
      </c>
      <c r="G181" s="804">
        <f t="shared" si="19"/>
        <v>90</v>
      </c>
      <c r="H181" s="644">
        <f t="shared" si="19"/>
        <v>120</v>
      </c>
      <c r="I181" s="804">
        <f t="shared" si="19"/>
        <v>150</v>
      </c>
      <c r="J181" s="644">
        <f t="shared" si="19"/>
        <v>180</v>
      </c>
      <c r="K181" s="804">
        <f t="shared" si="19"/>
        <v>210</v>
      </c>
      <c r="L181" s="644">
        <f t="shared" si="19"/>
        <v>240</v>
      </c>
    </row>
    <row r="182" spans="2:29" ht="14.65" thickBot="1" x14ac:dyDescent="0.5">
      <c r="D182" s="169" t="s">
        <v>217</v>
      </c>
      <c r="E182" s="35">
        <f>200*O182</f>
        <v>200</v>
      </c>
      <c r="F182" s="802">
        <f t="shared" ref="F182:K182" si="20">(F180-$E180)/($L180-$E180)*($L182-$E182)+$E182</f>
        <v>260</v>
      </c>
      <c r="G182" s="800">
        <f t="shared" si="20"/>
        <v>240</v>
      </c>
      <c r="H182" s="802">
        <f t="shared" si="20"/>
        <v>220</v>
      </c>
      <c r="I182" s="800">
        <f t="shared" si="20"/>
        <v>200</v>
      </c>
      <c r="J182" s="802">
        <f t="shared" si="20"/>
        <v>180</v>
      </c>
      <c r="K182" s="800">
        <f t="shared" si="20"/>
        <v>160</v>
      </c>
      <c r="L182" s="35">
        <f>140*O182</f>
        <v>140</v>
      </c>
      <c r="O182" s="743">
        <v>1</v>
      </c>
      <c r="P182" s="33" t="s">
        <v>308</v>
      </c>
      <c r="Q182" s="33"/>
      <c r="R182" s="33"/>
      <c r="S182" s="33"/>
      <c r="T182" s="33"/>
      <c r="U182" s="33"/>
      <c r="V182" s="33"/>
      <c r="W182" s="33"/>
      <c r="X182" s="33"/>
      <c r="Y182" s="33"/>
    </row>
    <row r="183" spans="2:29" x14ac:dyDescent="0.45">
      <c r="D183" s="47" t="s">
        <v>218</v>
      </c>
      <c r="E183" s="44">
        <f t="shared" ref="E183:L183" si="21">E181*$E$176*3.1415*($E$176/E182)*7.85</f>
        <v>2531.8601173124998</v>
      </c>
      <c r="F183" s="802">
        <f t="shared" si="21"/>
        <v>779.03388225000003</v>
      </c>
      <c r="G183" s="26">
        <f t="shared" si="21"/>
        <v>1265.9300586562499</v>
      </c>
      <c r="H183" s="44">
        <f t="shared" si="21"/>
        <v>1841.3528125909088</v>
      </c>
      <c r="I183" s="26">
        <f t="shared" si="21"/>
        <v>2531.8601173124998</v>
      </c>
      <c r="J183" s="44">
        <f t="shared" si="21"/>
        <v>3375.8134897500004</v>
      </c>
      <c r="K183" s="26">
        <f t="shared" si="21"/>
        <v>4430.7552052968749</v>
      </c>
      <c r="L183" s="44">
        <f t="shared" si="21"/>
        <v>5787.1088395714278</v>
      </c>
      <c r="O183" s="33"/>
      <c r="P183" s="33"/>
      <c r="Q183" s="33"/>
      <c r="R183" s="33"/>
      <c r="S183" s="628"/>
      <c r="T183" s="628"/>
      <c r="U183" s="628"/>
      <c r="V183" s="628"/>
      <c r="W183" s="628"/>
      <c r="X183" s="628"/>
      <c r="Y183" s="33"/>
    </row>
    <row r="184" spans="2:29" x14ac:dyDescent="0.45">
      <c r="D184" s="47" t="s">
        <v>219</v>
      </c>
      <c r="E184" s="35">
        <v>500</v>
      </c>
      <c r="F184" s="645">
        <v>500</v>
      </c>
      <c r="G184" s="790">
        <v>500</v>
      </c>
      <c r="H184" s="35">
        <v>500</v>
      </c>
      <c r="I184" s="790">
        <v>500</v>
      </c>
      <c r="J184" s="35">
        <v>500</v>
      </c>
      <c r="K184" s="790">
        <v>500</v>
      </c>
      <c r="L184" s="35">
        <v>500</v>
      </c>
      <c r="O184" s="33"/>
      <c r="P184" s="33"/>
      <c r="Q184" s="33"/>
      <c r="R184" s="33"/>
      <c r="S184" s="629"/>
      <c r="T184" s="629"/>
      <c r="U184" s="629"/>
      <c r="V184" s="629"/>
      <c r="W184" s="629"/>
      <c r="X184" s="629"/>
      <c r="Y184" s="33"/>
    </row>
    <row r="185" spans="2:29" ht="14.65" thickBot="1" x14ac:dyDescent="0.5">
      <c r="D185" s="120" t="s">
        <v>330</v>
      </c>
      <c r="E185" s="561">
        <f>(E180-$H$180)/100*$E$178+$H$185</f>
        <v>1.0089999999999999</v>
      </c>
      <c r="F185" s="561">
        <f>(F180-$H$180)/100*$E$178+$H$185</f>
        <v>0.98199999999999998</v>
      </c>
      <c r="G185" s="565">
        <f>(G180-$H$180)/100*$E$178+$H$185</f>
        <v>0.99099999999999999</v>
      </c>
      <c r="H185" s="51">
        <v>1</v>
      </c>
      <c r="I185" s="565">
        <f>(I180-$H$180)/100*$E$178+$H$185</f>
        <v>1.0089999999999999</v>
      </c>
      <c r="J185" s="561">
        <f>(J180-$H$180)/100*$E$178+$H$185</f>
        <v>1.018</v>
      </c>
      <c r="K185" s="565">
        <f>(K180-$H$180)/100*$E$178+$H$185</f>
        <v>1.0269999999999999</v>
      </c>
      <c r="L185" s="561">
        <f>(L180-$H$180)/100*$E$178+$H$185</f>
        <v>1.036</v>
      </c>
      <c r="O185" s="33"/>
      <c r="P185" s="33"/>
      <c r="Q185" s="33"/>
      <c r="R185" s="33"/>
      <c r="S185" s="629"/>
      <c r="T185" s="629"/>
      <c r="U185" s="629"/>
      <c r="V185" s="629"/>
      <c r="W185" s="629"/>
      <c r="X185" s="629"/>
      <c r="Y185" s="33"/>
    </row>
    <row r="186" spans="2:29" ht="14.65" thickBot="1" x14ac:dyDescent="0.5">
      <c r="F186" s="416"/>
      <c r="R186" s="33"/>
      <c r="S186" s="258"/>
      <c r="T186" s="258"/>
      <c r="U186" s="628"/>
      <c r="V186" s="628"/>
      <c r="W186" s="33"/>
      <c r="X186" s="33"/>
      <c r="Y186" s="33"/>
    </row>
    <row r="187" spans="2:29" ht="17.25" customHeight="1" x14ac:dyDescent="0.45">
      <c r="B187" s="969" t="s">
        <v>336</v>
      </c>
      <c r="C187" s="969">
        <v>2035</v>
      </c>
      <c r="D187" s="21" t="s">
        <v>125</v>
      </c>
      <c r="E187" s="84">
        <f t="shared" ref="E187:L187" si="22">E183*$F$88/1000000</f>
        <v>3.5446041642374997</v>
      </c>
      <c r="F187" s="417">
        <f t="shared" si="22"/>
        <v>1.09064743515</v>
      </c>
      <c r="G187" s="76">
        <f t="shared" si="22"/>
        <v>1.7723020821187498</v>
      </c>
      <c r="H187" s="83">
        <f t="shared" si="22"/>
        <v>2.5778939376272723</v>
      </c>
      <c r="I187" s="83">
        <f t="shared" si="22"/>
        <v>3.5446041642374997</v>
      </c>
      <c r="J187" s="83">
        <f t="shared" si="22"/>
        <v>4.7261388856500002</v>
      </c>
      <c r="K187" s="83">
        <f t="shared" si="22"/>
        <v>6.2030572874156249</v>
      </c>
      <c r="L187" s="79">
        <f t="shared" si="22"/>
        <v>8.1019523753999998</v>
      </c>
      <c r="M187" s="45" t="s">
        <v>15</v>
      </c>
      <c r="O187" s="56">
        <f>K127</f>
        <v>50</v>
      </c>
      <c r="P187" s="33" t="s">
        <v>337</v>
      </c>
      <c r="S187" s="264"/>
      <c r="T187" s="628"/>
      <c r="U187" s="264"/>
      <c r="V187" s="264"/>
      <c r="W187" s="141"/>
      <c r="X187" s="141"/>
      <c r="Y187" s="33"/>
    </row>
    <row r="188" spans="2:29" ht="14.65" thickBot="1" x14ac:dyDescent="0.5">
      <c r="B188" s="970"/>
      <c r="C188" s="970"/>
      <c r="D188" s="48" t="s">
        <v>126</v>
      </c>
      <c r="E188" s="85">
        <f t="shared" ref="E188:L188" si="23">E184*$F$89/1000000</f>
        <v>1.85</v>
      </c>
      <c r="F188" s="418">
        <f t="shared" si="23"/>
        <v>1.85</v>
      </c>
      <c r="G188" s="77">
        <f t="shared" si="23"/>
        <v>1.85</v>
      </c>
      <c r="H188" s="72">
        <f t="shared" si="23"/>
        <v>1.85</v>
      </c>
      <c r="I188" s="72">
        <f t="shared" si="23"/>
        <v>1.85</v>
      </c>
      <c r="J188" s="72">
        <f t="shared" si="23"/>
        <v>1.85</v>
      </c>
      <c r="K188" s="72">
        <f t="shared" si="23"/>
        <v>1.85</v>
      </c>
      <c r="L188" s="80">
        <f t="shared" si="23"/>
        <v>1.85</v>
      </c>
      <c r="M188" s="34" t="s">
        <v>15</v>
      </c>
      <c r="O188" s="36">
        <f>L85</f>
        <v>75</v>
      </c>
      <c r="P188" s="33" t="s">
        <v>338</v>
      </c>
      <c r="S188" s="628"/>
      <c r="T188" s="628"/>
      <c r="U188" s="264"/>
      <c r="V188" s="264"/>
      <c r="W188" s="141"/>
      <c r="X188" s="141"/>
      <c r="Y188" s="33"/>
    </row>
    <row r="189" spans="2:29" ht="14.65" thickBot="1" x14ac:dyDescent="0.5">
      <c r="B189" s="970"/>
      <c r="C189" s="970"/>
      <c r="D189" s="29" t="s">
        <v>14</v>
      </c>
      <c r="E189" s="86">
        <f t="shared" ref="E189:L189" si="24">$F$90*(E183+E184)/1000000</f>
        <v>2.2773357837116319</v>
      </c>
      <c r="F189" s="86">
        <f t="shared" si="24"/>
        <v>0.96072691876348459</v>
      </c>
      <c r="G189" s="86">
        <f t="shared" si="24"/>
        <v>1.3264516034713034</v>
      </c>
      <c r="H189" s="15">
        <f t="shared" si="24"/>
        <v>1.7586716853987254</v>
      </c>
      <c r="I189" s="86">
        <f t="shared" si="24"/>
        <v>2.2773357837116319</v>
      </c>
      <c r="J189" s="86">
        <f t="shared" si="24"/>
        <v>2.9112585705385179</v>
      </c>
      <c r="K189" s="86">
        <f t="shared" si="24"/>
        <v>3.703662054072125</v>
      </c>
      <c r="L189" s="86">
        <f t="shared" si="24"/>
        <v>4.7224665329010476</v>
      </c>
      <c r="M189" s="40" t="s">
        <v>15</v>
      </c>
      <c r="O189" s="818" t="s">
        <v>205</v>
      </c>
      <c r="P189" s="819"/>
      <c r="Q189" s="88"/>
      <c r="R189" s="33"/>
      <c r="S189" s="628"/>
      <c r="T189" s="628"/>
      <c r="U189" s="264"/>
      <c r="V189" s="660">
        <v>15</v>
      </c>
      <c r="W189" s="260">
        <v>30</v>
      </c>
      <c r="X189" s="661">
        <v>45</v>
      </c>
      <c r="Y189" s="647">
        <v>60</v>
      </c>
      <c r="Z189" s="285">
        <v>75</v>
      </c>
      <c r="AA189" s="31">
        <v>90</v>
      </c>
      <c r="AB189" s="208">
        <v>105</v>
      </c>
      <c r="AC189" s="31">
        <v>120</v>
      </c>
    </row>
    <row r="190" spans="2:29" x14ac:dyDescent="0.45">
      <c r="B190" s="970"/>
      <c r="C190" s="970"/>
      <c r="D190" s="367" t="s">
        <v>185</v>
      </c>
      <c r="E190" s="377">
        <v>29.635612937868899</v>
      </c>
      <c r="F190" s="377">
        <v>30.254954250413174</v>
      </c>
      <c r="G190" s="377">
        <v>31.248426865473331</v>
      </c>
      <c r="H190" s="377">
        <v>32.337899220893959</v>
      </c>
      <c r="I190" s="377">
        <v>33.5382678281103</v>
      </c>
      <c r="J190" s="377">
        <v>34.867679346507089</v>
      </c>
      <c r="K190" s="377">
        <v>36.348468126096357</v>
      </c>
      <c r="L190" s="377">
        <v>38.008438153627708</v>
      </c>
      <c r="M190" s="311" t="s">
        <v>40</v>
      </c>
      <c r="O190" s="377">
        <f>$S$162</f>
        <v>31.846170232372767</v>
      </c>
      <c r="P190" s="33"/>
      <c r="R190" s="33"/>
      <c r="S190" s="628"/>
      <c r="T190" s="141"/>
      <c r="U190" s="264"/>
      <c r="V190" s="298">
        <f>O201</f>
        <v>42.85489698392356</v>
      </c>
      <c r="W190" s="298">
        <f t="shared" ref="W190:AC192" si="25">$O201</f>
        <v>42.85489698392356</v>
      </c>
      <c r="X190" s="52">
        <f t="shared" si="25"/>
        <v>42.85489698392356</v>
      </c>
      <c r="Y190" s="141">
        <f t="shared" si="25"/>
        <v>42.85489698392356</v>
      </c>
      <c r="Z190" s="52">
        <f t="shared" si="25"/>
        <v>42.85489698392356</v>
      </c>
      <c r="AA190" s="141">
        <f t="shared" si="25"/>
        <v>42.85489698392356</v>
      </c>
      <c r="AB190" s="52">
        <f t="shared" si="25"/>
        <v>42.85489698392356</v>
      </c>
      <c r="AC190" s="52">
        <f t="shared" si="25"/>
        <v>42.85489698392356</v>
      </c>
    </row>
    <row r="191" spans="2:29" x14ac:dyDescent="0.45">
      <c r="B191" s="970"/>
      <c r="C191" s="970"/>
      <c r="D191" s="368" t="s">
        <v>183</v>
      </c>
      <c r="E191" s="378">
        <v>1.9777387258908272</v>
      </c>
      <c r="F191" s="378">
        <v>2.0089854533748626</v>
      </c>
      <c r="G191" s="378">
        <v>2.0590829272645292</v>
      </c>
      <c r="H191" s="378">
        <v>2.1140203959622466</v>
      </c>
      <c r="I191" s="378">
        <v>2.1745488892127236</v>
      </c>
      <c r="J191" s="378">
        <v>2.2415832965951243</v>
      </c>
      <c r="K191" s="378">
        <v>2.3162496347822268</v>
      </c>
      <c r="L191" s="378">
        <v>2.3999496782813257</v>
      </c>
      <c r="M191" s="311" t="s">
        <v>49</v>
      </c>
      <c r="O191" s="378">
        <f>$U$163</f>
        <v>2.0884243533245299</v>
      </c>
      <c r="P191" s="33"/>
      <c r="R191" s="33"/>
      <c r="S191" s="628"/>
      <c r="T191" s="77"/>
      <c r="U191" s="264"/>
      <c r="V191" s="85">
        <f>$O202</f>
        <v>2.4963476115194223</v>
      </c>
      <c r="W191" s="85">
        <f t="shared" si="25"/>
        <v>2.4963476115194223</v>
      </c>
      <c r="X191" s="72">
        <f t="shared" si="25"/>
        <v>2.4963476115194223</v>
      </c>
      <c r="Y191" s="77">
        <f t="shared" si="25"/>
        <v>2.4963476115194223</v>
      </c>
      <c r="Z191" s="72">
        <f t="shared" si="25"/>
        <v>2.4963476115194223</v>
      </c>
      <c r="AA191" s="77">
        <f t="shared" si="25"/>
        <v>2.4963476115194223</v>
      </c>
      <c r="AB191" s="72">
        <f t="shared" si="25"/>
        <v>2.4963476115194223</v>
      </c>
      <c r="AC191" s="72">
        <f t="shared" si="25"/>
        <v>2.4963476115194223</v>
      </c>
    </row>
    <row r="192" spans="2:29" ht="14.65" thickBot="1" x14ac:dyDescent="0.5">
      <c r="B192" s="970"/>
      <c r="C192" s="971"/>
      <c r="D192" s="369" t="s">
        <v>184</v>
      </c>
      <c r="E192" s="379">
        <v>1.5763514004042682</v>
      </c>
      <c r="F192" s="379">
        <v>1.6075981278883034</v>
      </c>
      <c r="G192" s="379">
        <v>1.6572151760757468</v>
      </c>
      <c r="H192" s="379">
        <v>1.7116722190712403</v>
      </c>
      <c r="I192" s="379">
        <v>1.7717202866194941</v>
      </c>
      <c r="J192" s="379">
        <v>1.8382742682996713</v>
      </c>
      <c r="K192" s="379">
        <v>1.9124601807845509</v>
      </c>
      <c r="L192" s="379">
        <v>1.9956797985814256</v>
      </c>
      <c r="M192" s="312" t="s">
        <v>49</v>
      </c>
      <c r="O192" s="379">
        <f>$U$165</f>
        <v>1.7097403045144508</v>
      </c>
      <c r="S192" s="628"/>
      <c r="T192" s="77"/>
      <c r="U192" s="264"/>
      <c r="V192" s="86">
        <f>$O203</f>
        <v>2.2653800379015152</v>
      </c>
      <c r="W192" s="86">
        <f t="shared" si="25"/>
        <v>2.2653800379015152</v>
      </c>
      <c r="X192" s="15">
        <f t="shared" si="25"/>
        <v>2.2653800379015152</v>
      </c>
      <c r="Y192" s="78">
        <f t="shared" si="25"/>
        <v>2.2653800379015152</v>
      </c>
      <c r="Z192" s="15">
        <f t="shared" si="25"/>
        <v>2.2653800379015152</v>
      </c>
      <c r="AA192" s="78">
        <f t="shared" si="25"/>
        <v>2.2653800379015152</v>
      </c>
      <c r="AB192" s="15">
        <f t="shared" si="25"/>
        <v>2.2653800379015152</v>
      </c>
      <c r="AC192" s="15">
        <f t="shared" si="25"/>
        <v>2.2653800379015152</v>
      </c>
    </row>
    <row r="193" spans="2:29" ht="14.65" thickBot="1" x14ac:dyDescent="0.5">
      <c r="B193" s="970"/>
      <c r="F193" s="788"/>
      <c r="I193" s="643"/>
      <c r="O193" s="788"/>
      <c r="S193" s="258"/>
      <c r="T193" s="258"/>
      <c r="U193" s="628"/>
      <c r="V193" s="628"/>
      <c r="W193" s="341"/>
      <c r="X193" s="341"/>
    </row>
    <row r="194" spans="2:29" ht="15.75" customHeight="1" x14ac:dyDescent="0.45">
      <c r="B194" s="970"/>
      <c r="C194" s="969">
        <v>2050</v>
      </c>
      <c r="D194" s="20" t="s">
        <v>125</v>
      </c>
      <c r="E194" s="84">
        <f t="shared" ref="E194:L194" si="26">E183*$G$88/1000000</f>
        <v>3.5446041642374997</v>
      </c>
      <c r="F194" s="83">
        <f t="shared" si="26"/>
        <v>1.09064743515</v>
      </c>
      <c r="G194" s="76">
        <f t="shared" si="26"/>
        <v>1.7723020821187498</v>
      </c>
      <c r="H194" s="83">
        <f t="shared" si="26"/>
        <v>2.5778939376272723</v>
      </c>
      <c r="I194" s="83">
        <f t="shared" si="26"/>
        <v>3.5446041642374997</v>
      </c>
      <c r="J194" s="83">
        <f t="shared" si="26"/>
        <v>4.7261388856500002</v>
      </c>
      <c r="K194" s="83">
        <f t="shared" si="26"/>
        <v>6.2030572874156249</v>
      </c>
      <c r="L194" s="79">
        <f t="shared" si="26"/>
        <v>8.1019523753999998</v>
      </c>
      <c r="M194" s="45" t="s">
        <v>15</v>
      </c>
      <c r="O194" s="790"/>
      <c r="S194" s="628"/>
      <c r="T194" s="628"/>
      <c r="U194" s="264"/>
      <c r="V194" s="264"/>
      <c r="W194" s="141"/>
      <c r="X194" s="141"/>
    </row>
    <row r="195" spans="2:29" ht="14.65" thickBot="1" x14ac:dyDescent="0.5">
      <c r="B195" s="970"/>
      <c r="C195" s="970"/>
      <c r="D195" s="33" t="s">
        <v>126</v>
      </c>
      <c r="E195" s="85">
        <f t="shared" ref="E195:L195" si="27">E184*$G$89/1000000</f>
        <v>1.85</v>
      </c>
      <c r="F195" s="72">
        <f t="shared" si="27"/>
        <v>1.85</v>
      </c>
      <c r="G195" s="77">
        <f t="shared" si="27"/>
        <v>1.85</v>
      </c>
      <c r="H195" s="72">
        <f t="shared" si="27"/>
        <v>1.85</v>
      </c>
      <c r="I195" s="72">
        <f t="shared" si="27"/>
        <v>1.85</v>
      </c>
      <c r="J195" s="72">
        <f t="shared" si="27"/>
        <v>1.85</v>
      </c>
      <c r="K195" s="72">
        <f t="shared" si="27"/>
        <v>1.85</v>
      </c>
      <c r="L195" s="80">
        <f t="shared" si="27"/>
        <v>1.85</v>
      </c>
      <c r="M195" s="34" t="s">
        <v>15</v>
      </c>
      <c r="O195" s="790"/>
      <c r="V195" s="646" t="s">
        <v>297</v>
      </c>
      <c r="W195" s="628"/>
      <c r="X195" s="264"/>
      <c r="Y195" s="264"/>
      <c r="Z195" s="141"/>
    </row>
    <row r="196" spans="2:29" ht="14.65" thickBot="1" x14ac:dyDescent="0.5">
      <c r="B196" s="970"/>
      <c r="C196" s="970"/>
      <c r="D196" s="33" t="s">
        <v>14</v>
      </c>
      <c r="E196" s="86">
        <f t="shared" ref="E196:L196" si="28">$G$90*E183/1000000</f>
        <v>1.3124482093602303</v>
      </c>
      <c r="F196" s="15">
        <f t="shared" si="28"/>
        <v>0.40383021826468624</v>
      </c>
      <c r="G196" s="78">
        <f t="shared" si="28"/>
        <v>0.65622410468011516</v>
      </c>
      <c r="H196" s="15">
        <f t="shared" si="28"/>
        <v>0.9545077886256218</v>
      </c>
      <c r="I196" s="15">
        <f t="shared" si="28"/>
        <v>1.3124482093602303</v>
      </c>
      <c r="J196" s="15">
        <f t="shared" si="28"/>
        <v>1.7499309458136405</v>
      </c>
      <c r="K196" s="15">
        <f t="shared" si="28"/>
        <v>2.2967843663804026</v>
      </c>
      <c r="L196" s="81">
        <f t="shared" si="28"/>
        <v>2.9998816213948118</v>
      </c>
      <c r="M196" s="40" t="s">
        <v>15</v>
      </c>
      <c r="O196" s="815"/>
      <c r="V196" s="638">
        <v>15</v>
      </c>
      <c r="W196" s="260">
        <v>30</v>
      </c>
      <c r="X196" s="641">
        <v>45</v>
      </c>
      <c r="Y196" s="647">
        <v>60</v>
      </c>
      <c r="Z196" s="285">
        <v>75</v>
      </c>
      <c r="AA196" s="31">
        <v>90</v>
      </c>
      <c r="AB196" s="208">
        <v>105</v>
      </c>
      <c r="AC196" s="31">
        <v>120</v>
      </c>
    </row>
    <row r="197" spans="2:29" x14ac:dyDescent="0.45">
      <c r="B197" s="970"/>
      <c r="C197" s="970"/>
      <c r="D197" s="367" t="s">
        <v>185</v>
      </c>
      <c r="E197" s="380">
        <v>27.479577829813501</v>
      </c>
      <c r="F197" s="380">
        <v>28.03056933623705</v>
      </c>
      <c r="G197" s="380">
        <v>28.915325112014898</v>
      </c>
      <c r="H197" s="380">
        <v>29.885486205484522</v>
      </c>
      <c r="I197" s="380">
        <v>30.954305165942902</v>
      </c>
      <c r="J197" s="380">
        <v>32.137926007988227</v>
      </c>
      <c r="K197" s="380">
        <v>33.456218288048994</v>
      </c>
      <c r="L197" s="380">
        <v>34.93391757637292</v>
      </c>
      <c r="M197" s="311" t="s">
        <v>40</v>
      </c>
      <c r="O197" s="380">
        <f>$T$162</f>
        <v>27.507725125764154</v>
      </c>
      <c r="V197" s="298">
        <f>O205</f>
        <v>31.98028493620787</v>
      </c>
      <c r="W197" s="298">
        <f t="shared" ref="W197:AC199" si="29">$O205</f>
        <v>31.98028493620787</v>
      </c>
      <c r="X197" s="52">
        <f t="shared" si="29"/>
        <v>31.98028493620787</v>
      </c>
      <c r="Y197" s="141">
        <f t="shared" si="29"/>
        <v>31.98028493620787</v>
      </c>
      <c r="Z197" s="52">
        <f t="shared" si="29"/>
        <v>31.98028493620787</v>
      </c>
      <c r="AA197" s="141">
        <f t="shared" si="29"/>
        <v>31.98028493620787</v>
      </c>
      <c r="AB197" s="52">
        <f t="shared" si="29"/>
        <v>31.98028493620787</v>
      </c>
      <c r="AC197" s="52">
        <f t="shared" si="29"/>
        <v>31.98028493620787</v>
      </c>
    </row>
    <row r="198" spans="2:29" x14ac:dyDescent="0.45">
      <c r="B198" s="970"/>
      <c r="C198" s="970"/>
      <c r="D198" s="368" t="s">
        <v>183</v>
      </c>
      <c r="E198" s="109">
        <v>1.3942436332241652</v>
      </c>
      <c r="F198" s="109">
        <v>1.4194286226829462</v>
      </c>
      <c r="G198" s="109">
        <v>1.4598560697319154</v>
      </c>
      <c r="H198" s="109">
        <v>1.5041853680468125</v>
      </c>
      <c r="I198" s="109">
        <v>1.5530219750740282</v>
      </c>
      <c r="J198" s="109">
        <v>1.6071034473846548</v>
      </c>
      <c r="K198" s="109">
        <v>1.6673375461907836</v>
      </c>
      <c r="L198" s="109">
        <v>1.7348543408058759</v>
      </c>
      <c r="M198" s="311" t="s">
        <v>49</v>
      </c>
      <c r="O198" s="109">
        <f>$V$163</f>
        <v>1.395999507487744</v>
      </c>
      <c r="V198" s="85">
        <f>$O206</f>
        <v>1.6848025073386812</v>
      </c>
      <c r="W198" s="85">
        <f t="shared" si="29"/>
        <v>1.6848025073386812</v>
      </c>
      <c r="X198" s="72">
        <f t="shared" si="29"/>
        <v>1.6848025073386812</v>
      </c>
      <c r="Y198" s="77">
        <f t="shared" si="29"/>
        <v>1.6848025073386812</v>
      </c>
      <c r="Z198" s="72">
        <f t="shared" si="29"/>
        <v>1.6848025073386812</v>
      </c>
      <c r="AA198" s="77">
        <f t="shared" si="29"/>
        <v>1.6848025073386812</v>
      </c>
      <c r="AB198" s="72">
        <f t="shared" si="29"/>
        <v>1.6848025073386812</v>
      </c>
      <c r="AC198" s="72">
        <f t="shared" si="29"/>
        <v>1.6848025073386812</v>
      </c>
    </row>
    <row r="199" spans="2:29" ht="14.65" thickBot="1" x14ac:dyDescent="0.5">
      <c r="B199" s="971"/>
      <c r="C199" s="971"/>
      <c r="D199" s="369" t="s">
        <v>184</v>
      </c>
      <c r="E199" s="110">
        <v>1.2359785169987918</v>
      </c>
      <c r="F199" s="110">
        <v>1.2611635064575728</v>
      </c>
      <c r="G199" s="110">
        <v>1.3011770153013462</v>
      </c>
      <c r="H199" s="110">
        <v>1.3450923754110471</v>
      </c>
      <c r="I199" s="110">
        <v>1.393515044233067</v>
      </c>
      <c r="J199" s="110">
        <v>1.4471825783384973</v>
      </c>
      <c r="K199" s="110">
        <v>1.50700273893943</v>
      </c>
      <c r="L199" s="110">
        <v>1.5741055953493261</v>
      </c>
      <c r="M199" s="312" t="s">
        <v>49</v>
      </c>
      <c r="O199" s="110">
        <f>$V$165</f>
        <v>1.3433283888735623</v>
      </c>
      <c r="V199" s="86">
        <f>$O207</f>
        <v>1.4735221555656852</v>
      </c>
      <c r="W199" s="86">
        <f t="shared" si="29"/>
        <v>1.4735221555656852</v>
      </c>
      <c r="X199" s="15">
        <f t="shared" si="29"/>
        <v>1.4735221555656852</v>
      </c>
      <c r="Y199" s="78">
        <f t="shared" si="29"/>
        <v>1.4735221555656852</v>
      </c>
      <c r="Z199" s="15">
        <f t="shared" si="29"/>
        <v>1.4735221555656852</v>
      </c>
      <c r="AA199" s="78">
        <f t="shared" si="29"/>
        <v>1.4735221555656852</v>
      </c>
      <c r="AB199" s="15">
        <f t="shared" si="29"/>
        <v>1.4735221555656852</v>
      </c>
      <c r="AC199" s="15">
        <f t="shared" si="29"/>
        <v>1.4735221555656852</v>
      </c>
    </row>
    <row r="200" spans="2:29" ht="14.65" thickBot="1" x14ac:dyDescent="0.5">
      <c r="E200" s="788"/>
      <c r="F200" s="788"/>
      <c r="O200" s="788"/>
    </row>
    <row r="201" spans="2:29" x14ac:dyDescent="0.45">
      <c r="B201" s="969" t="s">
        <v>129</v>
      </c>
      <c r="C201" s="972">
        <v>2035</v>
      </c>
      <c r="D201" s="308" t="s">
        <v>185</v>
      </c>
      <c r="E201" s="14">
        <v>42.91071409797312</v>
      </c>
      <c r="F201" s="14">
        <v>43.066370263302339</v>
      </c>
      <c r="G201" s="791">
        <v>43.239501683360324</v>
      </c>
      <c r="H201" s="14">
        <v>43.412633103418315</v>
      </c>
      <c r="I201" s="170">
        <v>43.5857645234763</v>
      </c>
      <c r="J201" s="14">
        <v>43.758895943534306</v>
      </c>
      <c r="K201" s="14">
        <v>43.932027363592283</v>
      </c>
      <c r="L201" s="467">
        <v>44.105158783650268</v>
      </c>
      <c r="M201" s="824" t="s">
        <v>40</v>
      </c>
      <c r="O201" s="14">
        <f>S168</f>
        <v>42.85489698392356</v>
      </c>
    </row>
    <row r="202" spans="2:29" x14ac:dyDescent="0.45">
      <c r="B202" s="970"/>
      <c r="C202" s="973"/>
      <c r="D202" s="309" t="s">
        <v>183</v>
      </c>
      <c r="E202" s="72">
        <v>2.4995627680317032</v>
      </c>
      <c r="F202" s="72">
        <v>2.5072266722829819</v>
      </c>
      <c r="G202" s="85">
        <v>2.5157509901177817</v>
      </c>
      <c r="H202" s="72">
        <v>2.5242753079525815</v>
      </c>
      <c r="I202" s="77">
        <v>2.5327996257873804</v>
      </c>
      <c r="J202" s="72">
        <v>2.5413239436221802</v>
      </c>
      <c r="K202" s="72">
        <v>2.5498482614569795</v>
      </c>
      <c r="L202" s="80">
        <v>2.5583725792917793</v>
      </c>
      <c r="M202" s="825" t="s">
        <v>49</v>
      </c>
      <c r="O202" s="72">
        <f>U169</f>
        <v>2.4963476115194223</v>
      </c>
    </row>
    <row r="203" spans="2:29" ht="14.65" thickBot="1" x14ac:dyDescent="0.5">
      <c r="B203" s="970"/>
      <c r="C203" s="974"/>
      <c r="D203" s="310" t="s">
        <v>184</v>
      </c>
      <c r="E203" s="15">
        <v>2.2463699831422073</v>
      </c>
      <c r="F203" s="15">
        <v>2.2542175616685753</v>
      </c>
      <c r="G203" s="86">
        <v>2.2624451280762399</v>
      </c>
      <c r="H203" s="15">
        <v>2.2706726944839044</v>
      </c>
      <c r="I203" s="78">
        <v>2.2789002608915685</v>
      </c>
      <c r="J203" s="15">
        <v>2.2871278272992339</v>
      </c>
      <c r="K203" s="15">
        <v>2.2953553937068985</v>
      </c>
      <c r="L203" s="81">
        <v>2.3035829601145625</v>
      </c>
      <c r="M203" s="826" t="s">
        <v>49</v>
      </c>
      <c r="O203" s="15">
        <f>U171</f>
        <v>2.2653800379015152</v>
      </c>
    </row>
    <row r="204" spans="2:29" ht="14.65" thickBot="1" x14ac:dyDescent="0.5">
      <c r="B204" s="970"/>
      <c r="C204" s="371"/>
      <c r="D204" s="1"/>
      <c r="E204" s="788"/>
      <c r="F204" s="788"/>
      <c r="G204" s="139"/>
      <c r="H204" s="139"/>
      <c r="I204" s="139"/>
      <c r="J204" s="139"/>
      <c r="K204" s="139"/>
      <c r="L204" s="139"/>
      <c r="M204" s="827"/>
      <c r="O204" s="788"/>
    </row>
    <row r="205" spans="2:29" x14ac:dyDescent="0.45">
      <c r="B205" s="970"/>
      <c r="C205" s="969">
        <v>2050</v>
      </c>
      <c r="D205" s="367" t="s">
        <v>185</v>
      </c>
      <c r="E205" s="14">
        <v>32.35911308987238</v>
      </c>
      <c r="F205" s="14">
        <v>32.434747489814491</v>
      </c>
      <c r="G205" s="791">
        <v>32.526850269001457</v>
      </c>
      <c r="H205" s="14">
        <v>32.618953048188423</v>
      </c>
      <c r="I205" s="170">
        <v>32.711055827375382</v>
      </c>
      <c r="J205" s="14">
        <v>32.803158606562349</v>
      </c>
      <c r="K205" s="170">
        <v>32.895261385749315</v>
      </c>
      <c r="L205" s="14">
        <v>32.987364164936288</v>
      </c>
      <c r="M205" s="824" t="s">
        <v>40</v>
      </c>
      <c r="O205" s="14">
        <f>T168</f>
        <v>31.98028493620787</v>
      </c>
    </row>
    <row r="206" spans="2:29" x14ac:dyDescent="0.45">
      <c r="B206" s="970"/>
      <c r="C206" s="970"/>
      <c r="D206" s="368" t="s">
        <v>183</v>
      </c>
      <c r="E206" s="72">
        <v>1.7021403977656824</v>
      </c>
      <c r="F206" s="72">
        <v>1.7055451463091083</v>
      </c>
      <c r="G206" s="85">
        <v>1.7096912333213976</v>
      </c>
      <c r="H206" s="72">
        <v>1.713837320333687</v>
      </c>
      <c r="I206" s="77">
        <v>1.7179834073459765</v>
      </c>
      <c r="J206" s="72">
        <v>1.7221294943582659</v>
      </c>
      <c r="K206" s="77">
        <v>1.7262755813705553</v>
      </c>
      <c r="L206" s="72">
        <v>1.7304216683828448</v>
      </c>
      <c r="M206" s="825" t="s">
        <v>49</v>
      </c>
      <c r="O206" s="72">
        <f>V169</f>
        <v>1.6848025073386812</v>
      </c>
    </row>
    <row r="207" spans="2:29" ht="14.65" thickBot="1" x14ac:dyDescent="0.5">
      <c r="B207" s="971"/>
      <c r="C207" s="971"/>
      <c r="D207" s="369" t="s">
        <v>184</v>
      </c>
      <c r="E207" s="15">
        <v>1.4715005316141849</v>
      </c>
      <c r="F207" s="15">
        <v>1.474955955205572</v>
      </c>
      <c r="G207" s="86">
        <v>1.4787387790606268</v>
      </c>
      <c r="H207" s="15">
        <v>1.4825216029156811</v>
      </c>
      <c r="I207" s="78">
        <v>1.4863044267707357</v>
      </c>
      <c r="J207" s="15">
        <v>1.4900872506257903</v>
      </c>
      <c r="K207" s="78">
        <v>1.4938700744808449</v>
      </c>
      <c r="L207" s="15">
        <v>1.4976528983358997</v>
      </c>
      <c r="M207" s="826" t="s">
        <v>49</v>
      </c>
      <c r="O207" s="15">
        <f>V171</f>
        <v>1.4735221555656852</v>
      </c>
    </row>
    <row r="208" spans="2:29" ht="14.65" thickBot="1" x14ac:dyDescent="0.5"/>
    <row r="209" spans="2:57" ht="14.65" thickBot="1" x14ac:dyDescent="0.5">
      <c r="D209" s="60" t="s">
        <v>156</v>
      </c>
      <c r="E209" s="32">
        <f>Results!D3</f>
        <v>50</v>
      </c>
      <c r="F209" s="30" t="s">
        <v>363</v>
      </c>
      <c r="G209" s="189"/>
      <c r="O209" s="6"/>
    </row>
    <row r="210" spans="2:57" ht="14.65" thickBot="1" x14ac:dyDescent="0.5">
      <c r="D210" s="18"/>
    </row>
    <row r="211" spans="2:57" ht="14.65" thickBot="1" x14ac:dyDescent="0.5">
      <c r="E211" s="795" t="s">
        <v>362</v>
      </c>
      <c r="F211" s="786">
        <f>$E$209</f>
        <v>50</v>
      </c>
      <c r="G211" s="56">
        <v>60</v>
      </c>
      <c r="H211" s="118">
        <v>105</v>
      </c>
      <c r="I211" s="113">
        <v>210</v>
      </c>
      <c r="J211" s="787">
        <v>300</v>
      </c>
      <c r="K211" s="341"/>
      <c r="L211" s="415"/>
      <c r="M211" s="6"/>
    </row>
    <row r="212" spans="2:57" x14ac:dyDescent="0.45">
      <c r="D212" s="19" t="s">
        <v>318</v>
      </c>
      <c r="E212" s="792">
        <v>0.08</v>
      </c>
      <c r="F212" s="796">
        <f t="shared" ref="F212:J214" si="30">1+$E212/100*(F$211-$G$211)</f>
        <v>0.99199999999999999</v>
      </c>
      <c r="G212" s="49">
        <v>1</v>
      </c>
      <c r="H212" s="796">
        <f t="shared" si="30"/>
        <v>1.036</v>
      </c>
      <c r="I212" s="797">
        <f t="shared" si="30"/>
        <v>1.1200000000000001</v>
      </c>
      <c r="J212" s="798">
        <f t="shared" si="30"/>
        <v>1.1919999999999999</v>
      </c>
      <c r="K212" s="341"/>
      <c r="M212" s="6"/>
    </row>
    <row r="213" spans="2:57" ht="14.65" thickBot="1" x14ac:dyDescent="0.5">
      <c r="D213" s="47" t="s">
        <v>317</v>
      </c>
      <c r="E213" s="793">
        <v>0.3</v>
      </c>
      <c r="F213" s="562">
        <f>1+$E213/100*(F$211-$G$211)</f>
        <v>0.97</v>
      </c>
      <c r="G213" s="50">
        <v>1</v>
      </c>
      <c r="H213" s="562">
        <f t="shared" si="30"/>
        <v>1.135</v>
      </c>
      <c r="I213" s="563">
        <f t="shared" si="30"/>
        <v>1.45</v>
      </c>
      <c r="J213" s="564">
        <f t="shared" si="30"/>
        <v>1.72</v>
      </c>
      <c r="K213" s="790"/>
      <c r="M213" s="6"/>
    </row>
    <row r="214" spans="2:57" ht="14.65" thickBot="1" x14ac:dyDescent="0.5">
      <c r="D214" s="28" t="s">
        <v>263</v>
      </c>
      <c r="E214" s="794">
        <v>0.09</v>
      </c>
      <c r="F214" s="565">
        <f>1+$E214/100*(F$211-$G$211)</f>
        <v>0.99099999999999999</v>
      </c>
      <c r="G214" s="561">
        <v>1</v>
      </c>
      <c r="H214" s="565">
        <f t="shared" si="30"/>
        <v>1.0405</v>
      </c>
      <c r="I214" s="561">
        <f t="shared" si="30"/>
        <v>1.135</v>
      </c>
      <c r="J214" s="566">
        <f t="shared" si="30"/>
        <v>1.216</v>
      </c>
      <c r="K214" s="341"/>
      <c r="L214" s="45">
        <f>K127</f>
        <v>50</v>
      </c>
      <c r="M214" s="33" t="s">
        <v>337</v>
      </c>
      <c r="AL214" s="38" t="s">
        <v>341</v>
      </c>
      <c r="AM214" s="54"/>
      <c r="AN214" s="39"/>
    </row>
    <row r="215" spans="2:57" ht="14.65" thickBot="1" x14ac:dyDescent="0.5">
      <c r="K215" s="341"/>
      <c r="L215" s="40">
        <f>L85</f>
        <v>75</v>
      </c>
      <c r="M215" s="33" t="s">
        <v>338</v>
      </c>
    </row>
    <row r="216" spans="2:57" ht="14.65" thickBot="1" x14ac:dyDescent="0.5">
      <c r="L216" s="818" t="s">
        <v>205</v>
      </c>
      <c r="M216" s="819"/>
      <c r="N216" s="88"/>
      <c r="P216" s="646" t="s">
        <v>298</v>
      </c>
      <c r="AL216" s="646" t="s">
        <v>298</v>
      </c>
    </row>
    <row r="217" spans="2:57" ht="14.65" thickBot="1" x14ac:dyDescent="0.5">
      <c r="E217" s="341"/>
      <c r="F217" s="26"/>
      <c r="G217" s="26"/>
      <c r="H217" s="26"/>
      <c r="I217" s="26"/>
      <c r="J217" s="26"/>
      <c r="P217" s="31">
        <v>15</v>
      </c>
      <c r="Q217" s="642">
        <v>30</v>
      </c>
      <c r="R217" s="31">
        <v>45</v>
      </c>
      <c r="S217" s="31">
        <v>60</v>
      </c>
      <c r="T217" s="31">
        <v>75</v>
      </c>
      <c r="U217" s="31">
        <v>90</v>
      </c>
      <c r="V217" s="31">
        <v>105</v>
      </c>
      <c r="W217" s="31">
        <v>120</v>
      </c>
      <c r="X217" s="31">
        <v>135</v>
      </c>
      <c r="Y217" s="31">
        <v>150</v>
      </c>
      <c r="Z217" s="31">
        <v>165</v>
      </c>
      <c r="AA217" s="31">
        <v>180</v>
      </c>
      <c r="AB217" s="31">
        <v>195</v>
      </c>
      <c r="AC217" s="31">
        <v>210</v>
      </c>
      <c r="AD217" s="639">
        <v>225</v>
      </c>
      <c r="AE217" s="31">
        <v>240</v>
      </c>
      <c r="AF217" s="641">
        <v>255</v>
      </c>
      <c r="AG217" s="31">
        <v>270</v>
      </c>
      <c r="AH217" s="640">
        <v>285</v>
      </c>
      <c r="AI217" s="31">
        <v>300</v>
      </c>
      <c r="AK217" s="22"/>
      <c r="AL217" s="31">
        <v>15</v>
      </c>
      <c r="AM217" s="727">
        <v>30</v>
      </c>
      <c r="AN217" s="31">
        <v>45</v>
      </c>
      <c r="AO217" s="31">
        <v>60</v>
      </c>
      <c r="AP217" s="31">
        <v>75</v>
      </c>
      <c r="AQ217" s="31">
        <v>90</v>
      </c>
      <c r="AR217" s="31">
        <v>105</v>
      </c>
      <c r="AS217" s="31">
        <v>120</v>
      </c>
      <c r="AT217" s="31">
        <v>135</v>
      </c>
      <c r="AU217" s="31">
        <v>150</v>
      </c>
      <c r="AV217" s="31">
        <v>165</v>
      </c>
      <c r="AW217" s="31">
        <v>180</v>
      </c>
      <c r="AX217" s="31">
        <v>195</v>
      </c>
      <c r="AY217" s="31">
        <v>210</v>
      </c>
      <c r="AZ217" s="724">
        <v>225</v>
      </c>
      <c r="BA217" s="31">
        <v>240</v>
      </c>
      <c r="BB217" s="726">
        <v>255</v>
      </c>
      <c r="BC217" s="31">
        <v>270</v>
      </c>
      <c r="BD217" s="725">
        <v>285</v>
      </c>
      <c r="BE217" s="31">
        <v>300</v>
      </c>
    </row>
    <row r="218" spans="2:57" ht="15" customHeight="1" x14ac:dyDescent="0.45">
      <c r="B218" s="969" t="s">
        <v>336</v>
      </c>
      <c r="C218" s="972">
        <v>2035</v>
      </c>
      <c r="D218" s="308" t="s">
        <v>185</v>
      </c>
      <c r="E218" s="384" t="s">
        <v>40</v>
      </c>
      <c r="F218" s="377">
        <v>27.053233205903076</v>
      </c>
      <c r="G218" s="377">
        <v>30.254954250413174</v>
      </c>
      <c r="H218" s="377">
        <v>33.495234116070229</v>
      </c>
      <c r="I218" s="377">
        <v>41.205838107063784</v>
      </c>
      <c r="J218" s="377">
        <v>47.98201546717128</v>
      </c>
      <c r="K218" s="7"/>
      <c r="L218" s="377">
        <f>$S$162</f>
        <v>31.846170232372767</v>
      </c>
      <c r="O218" s="384" t="s">
        <v>40</v>
      </c>
      <c r="P218" s="657">
        <f>F218</f>
        <v>27.053233205903076</v>
      </c>
      <c r="Q218" s="14">
        <f t="shared" ref="Q218:R220" si="31">(Q$217-$P$217)/($S$217-$P$217)*($S218-$P218)+$P218</f>
        <v>28.120473554073108</v>
      </c>
      <c r="R218" s="14">
        <f t="shared" si="31"/>
        <v>29.187713902243143</v>
      </c>
      <c r="S218" s="650">
        <f>G218</f>
        <v>30.254954250413174</v>
      </c>
      <c r="T218" s="170">
        <f t="shared" ref="T218:U220" si="32">(T$217-$S$217)/($V$217-$S$217)*($V218-$S218)+$S218</f>
        <v>31.335047538965526</v>
      </c>
      <c r="U218" s="14">
        <f t="shared" si="32"/>
        <v>32.415140827517874</v>
      </c>
      <c r="V218" s="649">
        <f>H218</f>
        <v>33.495234116070229</v>
      </c>
      <c r="W218" s="14">
        <f t="shared" ref="W218:AB220" si="33">(W$217-$V$217)/($AC$217-$V$217)*($AC218-$V218)+$V218</f>
        <v>34.596748971926452</v>
      </c>
      <c r="X218" s="170">
        <f t="shared" si="33"/>
        <v>35.698263827782675</v>
      </c>
      <c r="Y218" s="14">
        <f t="shared" si="33"/>
        <v>36.799778683638898</v>
      </c>
      <c r="Z218" s="170">
        <f t="shared" si="33"/>
        <v>37.901293539495114</v>
      </c>
      <c r="AA218" s="14">
        <f t="shared" si="33"/>
        <v>39.002808395351337</v>
      </c>
      <c r="AB218" s="170">
        <f t="shared" si="33"/>
        <v>40.10432325120756</v>
      </c>
      <c r="AC218" s="648">
        <f>I218</f>
        <v>41.205838107063784</v>
      </c>
      <c r="AD218" s="170">
        <f t="shared" ref="AD218:AH220" si="34">(AD$217-$AC$217)/($AI$217-$AC$217)*($AI218-$AC218)+$AC218</f>
        <v>42.335201000415033</v>
      </c>
      <c r="AE218" s="14">
        <f t="shared" si="34"/>
        <v>43.464563893766282</v>
      </c>
      <c r="AF218" s="170">
        <f t="shared" si="34"/>
        <v>44.593926787117532</v>
      </c>
      <c r="AG218" s="14">
        <f t="shared" si="34"/>
        <v>45.723289680468781</v>
      </c>
      <c r="AH218" s="170">
        <f t="shared" si="34"/>
        <v>46.852652573820031</v>
      </c>
      <c r="AI218" s="650">
        <f>J218</f>
        <v>47.98201546717128</v>
      </c>
      <c r="AK218" s="22" t="s">
        <v>339</v>
      </c>
      <c r="AL218" s="648">
        <f t="shared" ref="AL218:BE218" si="35">P218</f>
        <v>27.053233205903076</v>
      </c>
      <c r="AM218" s="776">
        <f t="shared" si="35"/>
        <v>28.120473554073108</v>
      </c>
      <c r="AN218" s="776">
        <f t="shared" si="35"/>
        <v>29.187713902243143</v>
      </c>
      <c r="AO218" s="657">
        <f t="shared" si="35"/>
        <v>30.254954250413174</v>
      </c>
      <c r="AP218" s="776">
        <f t="shared" si="35"/>
        <v>31.335047538965526</v>
      </c>
      <c r="AQ218" s="776">
        <f t="shared" si="35"/>
        <v>32.415140827517874</v>
      </c>
      <c r="AR218" s="657">
        <f t="shared" si="35"/>
        <v>33.495234116070229</v>
      </c>
      <c r="AS218" s="776">
        <f t="shared" si="35"/>
        <v>34.596748971926452</v>
      </c>
      <c r="AT218" s="776">
        <f t="shared" si="35"/>
        <v>35.698263827782675</v>
      </c>
      <c r="AU218" s="776">
        <f t="shared" si="35"/>
        <v>36.799778683638898</v>
      </c>
      <c r="AV218" s="776">
        <f t="shared" si="35"/>
        <v>37.901293539495114</v>
      </c>
      <c r="AW218" s="776">
        <f t="shared" si="35"/>
        <v>39.002808395351337</v>
      </c>
      <c r="AX218" s="776">
        <f t="shared" si="35"/>
        <v>40.10432325120756</v>
      </c>
      <c r="AY218" s="657">
        <f t="shared" si="35"/>
        <v>41.205838107063784</v>
      </c>
      <c r="AZ218" s="776">
        <f t="shared" si="35"/>
        <v>42.335201000415033</v>
      </c>
      <c r="BA218" s="776">
        <f t="shared" si="35"/>
        <v>43.464563893766282</v>
      </c>
      <c r="BB218" s="776">
        <f t="shared" si="35"/>
        <v>44.593926787117532</v>
      </c>
      <c r="BC218" s="776">
        <f t="shared" si="35"/>
        <v>45.723289680468781</v>
      </c>
      <c r="BD218" s="776">
        <f t="shared" si="35"/>
        <v>46.852652573820031</v>
      </c>
      <c r="BE218" s="648">
        <f t="shared" si="35"/>
        <v>47.98201546717128</v>
      </c>
    </row>
    <row r="219" spans="2:57" x14ac:dyDescent="0.45">
      <c r="B219" s="970"/>
      <c r="C219" s="973"/>
      <c r="D219" s="309" t="s">
        <v>183</v>
      </c>
      <c r="E219" s="196" t="s">
        <v>49</v>
      </c>
      <c r="F219" s="378">
        <v>1.844002636501723</v>
      </c>
      <c r="G219" s="378">
        <v>2.0089854533748626</v>
      </c>
      <c r="H219" s="378">
        <v>2.1758976274151549</v>
      </c>
      <c r="I219" s="378">
        <v>2.5728215471001361</v>
      </c>
      <c r="J219" s="378">
        <v>2.9213270981799084</v>
      </c>
      <c r="K219" s="7"/>
      <c r="L219" s="378">
        <f>$U$163</f>
        <v>2.0884243533245299</v>
      </c>
      <c r="O219" s="196" t="s">
        <v>49</v>
      </c>
      <c r="P219" s="658">
        <f>F219</f>
        <v>1.844002636501723</v>
      </c>
      <c r="Q219" s="72">
        <f t="shared" si="31"/>
        <v>1.8989969087927696</v>
      </c>
      <c r="R219" s="72">
        <f t="shared" si="31"/>
        <v>1.953991181083816</v>
      </c>
      <c r="S219" s="653">
        <f>G219</f>
        <v>2.0089854533748626</v>
      </c>
      <c r="T219" s="77">
        <f t="shared" si="32"/>
        <v>2.0646228447216268</v>
      </c>
      <c r="U219" s="72">
        <f t="shared" si="32"/>
        <v>2.1202602360683906</v>
      </c>
      <c r="V219" s="652">
        <f>H219</f>
        <v>2.1758976274151549</v>
      </c>
      <c r="W219" s="72">
        <f t="shared" si="33"/>
        <v>2.2326010445130096</v>
      </c>
      <c r="X219" s="77">
        <f t="shared" si="33"/>
        <v>2.2893044616108638</v>
      </c>
      <c r="Y219" s="72">
        <f t="shared" si="33"/>
        <v>2.3460078787087184</v>
      </c>
      <c r="Z219" s="77">
        <f t="shared" si="33"/>
        <v>2.4027112958065726</v>
      </c>
      <c r="AA219" s="72">
        <f t="shared" si="33"/>
        <v>2.4594147129044273</v>
      </c>
      <c r="AB219" s="77">
        <f t="shared" si="33"/>
        <v>2.5161181300022815</v>
      </c>
      <c r="AC219" s="651">
        <f>I219</f>
        <v>2.5728215471001361</v>
      </c>
      <c r="AD219" s="77">
        <f t="shared" si="34"/>
        <v>2.6309058056134313</v>
      </c>
      <c r="AE219" s="72">
        <f t="shared" si="34"/>
        <v>2.688990064126727</v>
      </c>
      <c r="AF219" s="77">
        <f t="shared" si="34"/>
        <v>2.7470743226400223</v>
      </c>
      <c r="AG219" s="72">
        <f t="shared" si="34"/>
        <v>2.8051585811533175</v>
      </c>
      <c r="AH219" s="77">
        <f t="shared" si="34"/>
        <v>2.8632428396666132</v>
      </c>
      <c r="AI219" s="653">
        <f>J219</f>
        <v>2.9213270981799084</v>
      </c>
      <c r="AK219" s="22" t="s">
        <v>340</v>
      </c>
      <c r="AL219" s="651">
        <f t="shared" ref="AL219:AU220" si="36">P219/141.8*3.6*1000</f>
        <v>46.815299657307499</v>
      </c>
      <c r="AM219" s="777">
        <f t="shared" si="36"/>
        <v>48.211487106163403</v>
      </c>
      <c r="AN219" s="777">
        <f t="shared" si="36"/>
        <v>49.607674555019301</v>
      </c>
      <c r="AO219" s="658">
        <f t="shared" si="36"/>
        <v>51.003862003875213</v>
      </c>
      <c r="AP219" s="777">
        <f t="shared" si="36"/>
        <v>52.416376875866398</v>
      </c>
      <c r="AQ219" s="777">
        <f t="shared" si="36"/>
        <v>53.828891747857583</v>
      </c>
      <c r="AR219" s="658">
        <f t="shared" si="36"/>
        <v>55.241406619848782</v>
      </c>
      <c r="AS219" s="777">
        <f t="shared" si="36"/>
        <v>56.68098561528091</v>
      </c>
      <c r="AT219" s="777">
        <f t="shared" si="36"/>
        <v>58.120564610713039</v>
      </c>
      <c r="AU219" s="777">
        <f t="shared" si="36"/>
        <v>59.560143606145182</v>
      </c>
      <c r="AV219" s="777">
        <f t="shared" ref="AV219:BE220" si="37">Z219/141.8*3.6*1000</f>
        <v>60.999722601577304</v>
      </c>
      <c r="AW219" s="777">
        <f t="shared" si="37"/>
        <v>62.439301597009432</v>
      </c>
      <c r="AX219" s="777">
        <f t="shared" si="37"/>
        <v>63.878880592441554</v>
      </c>
      <c r="AY219" s="658">
        <f t="shared" si="37"/>
        <v>65.31845958787369</v>
      </c>
      <c r="AZ219" s="777">
        <f t="shared" si="37"/>
        <v>66.793095205982738</v>
      </c>
      <c r="BA219" s="777">
        <f t="shared" si="37"/>
        <v>68.267730824091799</v>
      </c>
      <c r="BB219" s="777">
        <f t="shared" si="37"/>
        <v>69.742366442200847</v>
      </c>
      <c r="BC219" s="777">
        <f t="shared" si="37"/>
        <v>71.217002060309895</v>
      </c>
      <c r="BD219" s="777">
        <f t="shared" si="37"/>
        <v>72.691637678418942</v>
      </c>
      <c r="BE219" s="651">
        <f t="shared" si="37"/>
        <v>74.166273296528004</v>
      </c>
    </row>
    <row r="220" spans="2:57" ht="14.65" thickBot="1" x14ac:dyDescent="0.5">
      <c r="B220" s="970"/>
      <c r="C220" s="974"/>
      <c r="D220" s="310" t="s">
        <v>184</v>
      </c>
      <c r="E220" s="133" t="s">
        <v>49</v>
      </c>
      <c r="F220" s="379">
        <v>1.5506155898520433</v>
      </c>
      <c r="G220" s="379">
        <v>1.6075981278883034</v>
      </c>
      <c r="H220" s="379">
        <v>1.6648667161130477</v>
      </c>
      <c r="I220" s="379">
        <v>1.7995649639780398</v>
      </c>
      <c r="J220" s="379">
        <v>1.9161846565902585</v>
      </c>
      <c r="K220" s="721"/>
      <c r="L220" s="379">
        <f>$U$165</f>
        <v>1.7097403045144508</v>
      </c>
      <c r="O220" s="133" t="s">
        <v>49</v>
      </c>
      <c r="P220" s="659">
        <f>F220</f>
        <v>1.5506155898520433</v>
      </c>
      <c r="Q220" s="15">
        <f t="shared" si="31"/>
        <v>1.5696097691974633</v>
      </c>
      <c r="R220" s="15">
        <f t="shared" si="31"/>
        <v>1.5886039485428833</v>
      </c>
      <c r="S220" s="656">
        <f>G220</f>
        <v>1.6075981278883034</v>
      </c>
      <c r="T220" s="78">
        <f t="shared" si="32"/>
        <v>1.6266876572965514</v>
      </c>
      <c r="U220" s="15">
        <f t="shared" si="32"/>
        <v>1.6457771867047997</v>
      </c>
      <c r="V220" s="655">
        <f>H220</f>
        <v>1.6648667161130477</v>
      </c>
      <c r="W220" s="15">
        <f t="shared" si="33"/>
        <v>1.6841093229509037</v>
      </c>
      <c r="X220" s="78">
        <f t="shared" si="33"/>
        <v>1.7033519297887598</v>
      </c>
      <c r="Y220" s="15">
        <f t="shared" si="33"/>
        <v>1.7225945366266158</v>
      </c>
      <c r="Z220" s="78">
        <f t="shared" si="33"/>
        <v>1.7418371434644717</v>
      </c>
      <c r="AA220" s="15">
        <f t="shared" si="33"/>
        <v>1.7610797503023277</v>
      </c>
      <c r="AB220" s="78">
        <f t="shared" si="33"/>
        <v>1.7803223571401838</v>
      </c>
      <c r="AC220" s="654">
        <f>I220</f>
        <v>1.7995649639780398</v>
      </c>
      <c r="AD220" s="78">
        <f t="shared" si="34"/>
        <v>1.8190015794134096</v>
      </c>
      <c r="AE220" s="15">
        <f t="shared" si="34"/>
        <v>1.8384381948487794</v>
      </c>
      <c r="AF220" s="78">
        <f t="shared" si="34"/>
        <v>1.8578748102841491</v>
      </c>
      <c r="AG220" s="15">
        <f t="shared" si="34"/>
        <v>1.8773114257195189</v>
      </c>
      <c r="AH220" s="78">
        <f t="shared" si="34"/>
        <v>1.8967480411548887</v>
      </c>
      <c r="AI220" s="656">
        <f>J220</f>
        <v>1.9161846565902585</v>
      </c>
      <c r="AK220" s="22" t="s">
        <v>340</v>
      </c>
      <c r="AL220" s="654">
        <f t="shared" si="36"/>
        <v>39.366827386934801</v>
      </c>
      <c r="AM220" s="778">
        <f t="shared" si="36"/>
        <v>39.849049147467333</v>
      </c>
      <c r="AN220" s="778">
        <f t="shared" si="36"/>
        <v>40.331270907999858</v>
      </c>
      <c r="AO220" s="659">
        <f t="shared" si="36"/>
        <v>40.813492668532383</v>
      </c>
      <c r="AP220" s="778">
        <f t="shared" si="36"/>
        <v>41.298135164087341</v>
      </c>
      <c r="AQ220" s="778">
        <f t="shared" si="36"/>
        <v>41.782777659642306</v>
      </c>
      <c r="AR220" s="659">
        <f t="shared" si="36"/>
        <v>42.267420155197264</v>
      </c>
      <c r="AS220" s="778">
        <f t="shared" si="36"/>
        <v>42.755948960671738</v>
      </c>
      <c r="AT220" s="778">
        <f t="shared" si="36"/>
        <v>43.244477766146225</v>
      </c>
      <c r="AU220" s="778">
        <f t="shared" si="36"/>
        <v>43.733006571620706</v>
      </c>
      <c r="AV220" s="778">
        <f t="shared" si="37"/>
        <v>44.221535377095186</v>
      </c>
      <c r="AW220" s="778">
        <f t="shared" si="37"/>
        <v>44.710064182569667</v>
      </c>
      <c r="AX220" s="778">
        <f t="shared" si="37"/>
        <v>45.198592988044155</v>
      </c>
      <c r="AY220" s="659">
        <f t="shared" si="37"/>
        <v>45.687121793518642</v>
      </c>
      <c r="AZ220" s="778">
        <f t="shared" si="37"/>
        <v>46.1805760640922</v>
      </c>
      <c r="BA220" s="778">
        <f t="shared" si="37"/>
        <v>46.674030334665765</v>
      </c>
      <c r="BB220" s="778">
        <f t="shared" si="37"/>
        <v>47.167484605239324</v>
      </c>
      <c r="BC220" s="778">
        <f t="shared" si="37"/>
        <v>47.660938875812889</v>
      </c>
      <c r="BD220" s="778">
        <f t="shared" si="37"/>
        <v>48.154393146386454</v>
      </c>
      <c r="BE220" s="654">
        <f t="shared" si="37"/>
        <v>48.647847416960012</v>
      </c>
    </row>
    <row r="221" spans="2:57" ht="14.65" thickBot="1" x14ac:dyDescent="0.5">
      <c r="B221" s="970"/>
      <c r="C221" s="371"/>
      <c r="D221" s="1"/>
      <c r="E221" s="342"/>
      <c r="F221" s="382"/>
      <c r="G221" s="382"/>
      <c r="H221" s="382"/>
      <c r="I221" s="382"/>
      <c r="J221" s="382"/>
      <c r="K221" s="7"/>
      <c r="L221" s="382"/>
      <c r="P221" s="643"/>
      <c r="Q221" s="643"/>
      <c r="R221" s="643"/>
      <c r="S221" s="643"/>
      <c r="T221" s="643"/>
      <c r="U221" s="643"/>
      <c r="V221" s="643"/>
      <c r="W221" s="643"/>
      <c r="X221" s="643"/>
      <c r="Y221" s="643"/>
      <c r="Z221" s="643"/>
      <c r="AA221" s="643"/>
      <c r="AB221" s="643"/>
      <c r="AC221" s="643"/>
      <c r="AD221" s="643"/>
      <c r="AE221" s="643"/>
      <c r="AF221" s="643"/>
      <c r="AG221" s="643"/>
      <c r="AH221" s="643"/>
      <c r="AI221" s="643"/>
      <c r="AK221" s="22"/>
      <c r="AL221" s="728"/>
      <c r="AM221" s="728"/>
      <c r="AN221" s="728"/>
      <c r="AO221" s="728"/>
      <c r="AP221" s="728"/>
      <c r="AQ221" s="728"/>
      <c r="AR221" s="728"/>
      <c r="AS221" s="728"/>
      <c r="AT221" s="728"/>
      <c r="AU221" s="728"/>
      <c r="AV221" s="728"/>
      <c r="AW221" s="728"/>
      <c r="AX221" s="728"/>
      <c r="AY221" s="728"/>
      <c r="AZ221" s="728"/>
      <c r="BA221" s="728"/>
      <c r="BB221" s="728"/>
      <c r="BC221" s="728"/>
      <c r="BD221" s="728"/>
      <c r="BE221" s="728"/>
    </row>
    <row r="222" spans="2:57" ht="15" customHeight="1" x14ac:dyDescent="0.45">
      <c r="B222" s="970"/>
      <c r="C222" s="972">
        <v>2050</v>
      </c>
      <c r="D222" s="367" t="s">
        <v>185</v>
      </c>
      <c r="E222" s="384" t="s">
        <v>40</v>
      </c>
      <c r="F222" s="380">
        <v>24.993410681881024</v>
      </c>
      <c r="G222" s="380">
        <v>28.03056933623705</v>
      </c>
      <c r="H222" s="380">
        <v>31.12277799044147</v>
      </c>
      <c r="I222" s="380">
        <v>38.55432207842081</v>
      </c>
      <c r="J222" s="380">
        <v>45.168502121803193</v>
      </c>
      <c r="K222" s="7"/>
      <c r="L222" s="380">
        <f>$T$162</f>
        <v>27.507725125764154</v>
      </c>
      <c r="O222" s="384" t="s">
        <v>40</v>
      </c>
      <c r="P222" s="648">
        <f>F222</f>
        <v>24.993410681881024</v>
      </c>
      <c r="Q222" s="14">
        <f t="shared" ref="Q222:R224" si="38">(Q$217-$P$217)/($S$217-$P$217)*($S222-$P222)+$P222</f>
        <v>26.005796899999698</v>
      </c>
      <c r="R222" s="14">
        <f t="shared" si="38"/>
        <v>27.018183118118376</v>
      </c>
      <c r="S222" s="648">
        <f>G222</f>
        <v>28.03056933623705</v>
      </c>
      <c r="T222" s="170">
        <f t="shared" ref="T222:U224" si="39">(T$217-$S$217)/($V$217-$S$217)*($V222-$S222)+$S222</f>
        <v>29.061305554305189</v>
      </c>
      <c r="U222" s="14">
        <f t="shared" si="39"/>
        <v>30.092041772373332</v>
      </c>
      <c r="V222" s="649">
        <f>H222</f>
        <v>31.12277799044147</v>
      </c>
      <c r="W222" s="14">
        <f t="shared" ref="W222:AB224" si="40">(W$217-$V$217)/($AC$217-$V$217)*($AC222-$V222)+$V222</f>
        <v>32.18442714586709</v>
      </c>
      <c r="X222" s="170">
        <f t="shared" si="40"/>
        <v>33.24607630129271</v>
      </c>
      <c r="Y222" s="14">
        <f t="shared" si="40"/>
        <v>34.30772545671833</v>
      </c>
      <c r="Z222" s="170">
        <f t="shared" si="40"/>
        <v>35.36937461214395</v>
      </c>
      <c r="AA222" s="14">
        <f t="shared" si="40"/>
        <v>36.43102376756957</v>
      </c>
      <c r="AB222" s="170">
        <f t="shared" si="40"/>
        <v>37.49267292299519</v>
      </c>
      <c r="AC222" s="648">
        <f>I222</f>
        <v>38.55432207842081</v>
      </c>
      <c r="AD222" s="170">
        <f t="shared" ref="AD222:AH224" si="41">(AD$217-$AC$217)/($AI$217-$AC$217)*($AI222-$AC222)+$AC222</f>
        <v>39.656685418984537</v>
      </c>
      <c r="AE222" s="14">
        <f t="shared" si="41"/>
        <v>40.759048759548271</v>
      </c>
      <c r="AF222" s="170">
        <f t="shared" si="41"/>
        <v>41.861412100112005</v>
      </c>
      <c r="AG222" s="14">
        <f t="shared" si="41"/>
        <v>42.963775440675732</v>
      </c>
      <c r="AH222" s="170">
        <f t="shared" si="41"/>
        <v>44.066138781239459</v>
      </c>
      <c r="AI222" s="650">
        <f>J222</f>
        <v>45.168502121803193</v>
      </c>
      <c r="AK222" s="22" t="s">
        <v>339</v>
      </c>
      <c r="AL222" s="648">
        <f t="shared" ref="AL222:BE222" si="42">P222</f>
        <v>24.993410681881024</v>
      </c>
      <c r="AM222" s="776">
        <f t="shared" si="42"/>
        <v>26.005796899999698</v>
      </c>
      <c r="AN222" s="776">
        <f t="shared" si="42"/>
        <v>27.018183118118376</v>
      </c>
      <c r="AO222" s="657">
        <f t="shared" si="42"/>
        <v>28.03056933623705</v>
      </c>
      <c r="AP222" s="776">
        <f t="shared" si="42"/>
        <v>29.061305554305189</v>
      </c>
      <c r="AQ222" s="776">
        <f t="shared" si="42"/>
        <v>30.092041772373332</v>
      </c>
      <c r="AR222" s="657">
        <f t="shared" si="42"/>
        <v>31.12277799044147</v>
      </c>
      <c r="AS222" s="776">
        <f t="shared" si="42"/>
        <v>32.18442714586709</v>
      </c>
      <c r="AT222" s="776">
        <f t="shared" si="42"/>
        <v>33.24607630129271</v>
      </c>
      <c r="AU222" s="776">
        <f t="shared" si="42"/>
        <v>34.30772545671833</v>
      </c>
      <c r="AV222" s="776">
        <f t="shared" si="42"/>
        <v>35.36937461214395</v>
      </c>
      <c r="AW222" s="776">
        <f t="shared" si="42"/>
        <v>36.43102376756957</v>
      </c>
      <c r="AX222" s="776">
        <f t="shared" si="42"/>
        <v>37.49267292299519</v>
      </c>
      <c r="AY222" s="657">
        <f t="shared" si="42"/>
        <v>38.55432207842081</v>
      </c>
      <c r="AZ222" s="776">
        <f t="shared" si="42"/>
        <v>39.656685418984537</v>
      </c>
      <c r="BA222" s="776">
        <f t="shared" si="42"/>
        <v>40.759048759548271</v>
      </c>
      <c r="BB222" s="776">
        <f t="shared" si="42"/>
        <v>41.861412100112005</v>
      </c>
      <c r="BC222" s="776">
        <f t="shared" si="42"/>
        <v>42.963775440675732</v>
      </c>
      <c r="BD222" s="776">
        <f t="shared" si="42"/>
        <v>44.066138781239459</v>
      </c>
      <c r="BE222" s="648">
        <f t="shared" si="42"/>
        <v>45.168502121803193</v>
      </c>
    </row>
    <row r="223" spans="2:57" x14ac:dyDescent="0.45">
      <c r="B223" s="970"/>
      <c r="C223" s="973"/>
      <c r="D223" s="368" t="s">
        <v>183</v>
      </c>
      <c r="E223" s="196" t="s">
        <v>49</v>
      </c>
      <c r="F223" s="109">
        <v>1.276978359358637</v>
      </c>
      <c r="G223" s="109">
        <v>1.4194286226829462</v>
      </c>
      <c r="H223" s="109">
        <v>1.564374448678272</v>
      </c>
      <c r="I223" s="109">
        <v>1.9123669949511075</v>
      </c>
      <c r="J223" s="109">
        <v>2.2216757280781092</v>
      </c>
      <c r="K223" s="721"/>
      <c r="L223" s="109">
        <f>$V$163</f>
        <v>1.395999507487744</v>
      </c>
      <c r="O223" s="196" t="s">
        <v>49</v>
      </c>
      <c r="P223" s="651">
        <f>F223</f>
        <v>1.276978359358637</v>
      </c>
      <c r="Q223" s="72">
        <f t="shared" si="38"/>
        <v>1.32446178046674</v>
      </c>
      <c r="R223" s="72">
        <f t="shared" si="38"/>
        <v>1.3719452015748432</v>
      </c>
      <c r="S223" s="651">
        <f>G223</f>
        <v>1.4194286226829462</v>
      </c>
      <c r="T223" s="77">
        <f t="shared" si="39"/>
        <v>1.4677438980147215</v>
      </c>
      <c r="U223" s="72">
        <f t="shared" si="39"/>
        <v>1.5160591733464968</v>
      </c>
      <c r="V223" s="652">
        <f>H223</f>
        <v>1.564374448678272</v>
      </c>
      <c r="W223" s="72">
        <f t="shared" si="40"/>
        <v>1.6140876695743913</v>
      </c>
      <c r="X223" s="77">
        <f t="shared" si="40"/>
        <v>1.6638008904705108</v>
      </c>
      <c r="Y223" s="72">
        <f t="shared" si="40"/>
        <v>1.7135141113666301</v>
      </c>
      <c r="Z223" s="77">
        <f t="shared" si="40"/>
        <v>1.7632273322627494</v>
      </c>
      <c r="AA223" s="72">
        <f t="shared" si="40"/>
        <v>1.8129405531588687</v>
      </c>
      <c r="AB223" s="77">
        <f t="shared" si="40"/>
        <v>1.8626537740549882</v>
      </c>
      <c r="AC223" s="651">
        <f>I223</f>
        <v>1.9123669949511075</v>
      </c>
      <c r="AD223" s="77">
        <f t="shared" si="41"/>
        <v>1.9639184504722744</v>
      </c>
      <c r="AE223" s="72">
        <f t="shared" si="41"/>
        <v>2.0154699059934416</v>
      </c>
      <c r="AF223" s="77">
        <f t="shared" si="41"/>
        <v>2.0670213615146085</v>
      </c>
      <c r="AG223" s="72">
        <f t="shared" si="41"/>
        <v>2.1185728170357754</v>
      </c>
      <c r="AH223" s="77">
        <f t="shared" si="41"/>
        <v>2.1701242725569423</v>
      </c>
      <c r="AI223" s="653">
        <f>J223</f>
        <v>2.2216757280781092</v>
      </c>
      <c r="AK223" s="22" t="s">
        <v>340</v>
      </c>
      <c r="AL223" s="651">
        <f t="shared" ref="AL223:AU224" si="43">P223/141.8*3.6*1000</f>
        <v>32.419760886396986</v>
      </c>
      <c r="AM223" s="777">
        <f t="shared" si="43"/>
        <v>33.625263820030071</v>
      </c>
      <c r="AN223" s="777">
        <f t="shared" si="43"/>
        <v>34.830766753663148</v>
      </c>
      <c r="AO223" s="658">
        <f t="shared" si="43"/>
        <v>36.036269687296226</v>
      </c>
      <c r="AP223" s="777">
        <f t="shared" si="43"/>
        <v>37.262891628018309</v>
      </c>
      <c r="AQ223" s="777">
        <f t="shared" si="43"/>
        <v>38.489513568740392</v>
      </c>
      <c r="AR223" s="658">
        <f t="shared" si="43"/>
        <v>39.716135509462475</v>
      </c>
      <c r="AS223" s="777">
        <f t="shared" si="43"/>
        <v>40.97824831077439</v>
      </c>
      <c r="AT223" s="777">
        <f t="shared" si="43"/>
        <v>42.240361112086312</v>
      </c>
      <c r="AU223" s="777">
        <f t="shared" si="43"/>
        <v>43.502473913398227</v>
      </c>
      <c r="AV223" s="777">
        <f t="shared" ref="AV223:BE224" si="44">Z223/141.8*3.6*1000</f>
        <v>44.764586714710141</v>
      </c>
      <c r="AW223" s="777">
        <f t="shared" si="44"/>
        <v>46.026699516022049</v>
      </c>
      <c r="AX223" s="777">
        <f t="shared" si="44"/>
        <v>47.288812317333971</v>
      </c>
      <c r="AY223" s="658">
        <f t="shared" si="44"/>
        <v>48.550925118645885</v>
      </c>
      <c r="AZ223" s="777">
        <f t="shared" si="44"/>
        <v>49.859706782088764</v>
      </c>
      <c r="BA223" s="777">
        <f t="shared" si="44"/>
        <v>51.168488445531658</v>
      </c>
      <c r="BB223" s="777">
        <f t="shared" si="44"/>
        <v>52.477270108974544</v>
      </c>
      <c r="BC223" s="777">
        <f t="shared" si="44"/>
        <v>53.786051772417423</v>
      </c>
      <c r="BD223" s="777">
        <f t="shared" si="44"/>
        <v>55.094833435860309</v>
      </c>
      <c r="BE223" s="651">
        <f t="shared" si="44"/>
        <v>56.403615099303195</v>
      </c>
    </row>
    <row r="224" spans="2:57" ht="14.65" thickBot="1" x14ac:dyDescent="0.5">
      <c r="B224" s="971"/>
      <c r="C224" s="974"/>
      <c r="D224" s="369" t="s">
        <v>184</v>
      </c>
      <c r="E224" s="133" t="s">
        <v>49</v>
      </c>
      <c r="F224" s="110">
        <v>1.2142997644780933</v>
      </c>
      <c r="G224" s="110">
        <v>1.2611635064575728</v>
      </c>
      <c r="H224" s="110">
        <v>1.3082645517134026</v>
      </c>
      <c r="I224" s="110">
        <v>1.4190666278091186</v>
      </c>
      <c r="J224" s="110">
        <v>1.5150252818808587</v>
      </c>
      <c r="K224" s="7"/>
      <c r="L224" s="110">
        <f>$V$165</f>
        <v>1.3433283888735623</v>
      </c>
      <c r="O224" s="133" t="s">
        <v>49</v>
      </c>
      <c r="P224" s="654">
        <f>F224</f>
        <v>1.2142997644780933</v>
      </c>
      <c r="Q224" s="15">
        <f t="shared" si="38"/>
        <v>1.2299210118045865</v>
      </c>
      <c r="R224" s="15">
        <f t="shared" si="38"/>
        <v>1.2455422591310796</v>
      </c>
      <c r="S224" s="654">
        <f>G224</f>
        <v>1.2611635064575728</v>
      </c>
      <c r="T224" s="78">
        <f t="shared" si="39"/>
        <v>1.2768638548761828</v>
      </c>
      <c r="U224" s="15">
        <f t="shared" si="39"/>
        <v>1.2925642032947926</v>
      </c>
      <c r="V224" s="655">
        <f>H224</f>
        <v>1.3082645517134026</v>
      </c>
      <c r="W224" s="15">
        <f t="shared" si="40"/>
        <v>1.3240934197270764</v>
      </c>
      <c r="X224" s="78">
        <f t="shared" si="40"/>
        <v>1.33992228774075</v>
      </c>
      <c r="Y224" s="15">
        <f t="shared" si="40"/>
        <v>1.3557511557544237</v>
      </c>
      <c r="Z224" s="78">
        <f t="shared" si="40"/>
        <v>1.3715800237680975</v>
      </c>
      <c r="AA224" s="15">
        <f t="shared" si="40"/>
        <v>1.3874088917817713</v>
      </c>
      <c r="AB224" s="78">
        <f t="shared" si="40"/>
        <v>1.4032377597954449</v>
      </c>
      <c r="AC224" s="654">
        <f>I224</f>
        <v>1.4190666278091186</v>
      </c>
      <c r="AD224" s="78">
        <f t="shared" si="41"/>
        <v>1.4350597368210753</v>
      </c>
      <c r="AE224" s="15">
        <f t="shared" si="41"/>
        <v>1.4510528458330321</v>
      </c>
      <c r="AF224" s="78">
        <f t="shared" si="41"/>
        <v>1.4670459548449886</v>
      </c>
      <c r="AG224" s="15">
        <f t="shared" si="41"/>
        <v>1.4830390638569453</v>
      </c>
      <c r="AH224" s="78">
        <f t="shared" si="41"/>
        <v>1.499032172868902</v>
      </c>
      <c r="AI224" s="656">
        <f>J224</f>
        <v>1.5150252818808587</v>
      </c>
      <c r="AK224" s="22" t="s">
        <v>340</v>
      </c>
      <c r="AL224" s="654">
        <f t="shared" si="43"/>
        <v>30.828484852758361</v>
      </c>
      <c r="AM224" s="778">
        <f t="shared" si="43"/>
        <v>31.225075052866792</v>
      </c>
      <c r="AN224" s="778">
        <f t="shared" si="43"/>
        <v>31.621665252975223</v>
      </c>
      <c r="AO224" s="659">
        <f t="shared" si="43"/>
        <v>32.018255453083647</v>
      </c>
      <c r="AP224" s="778">
        <f t="shared" si="43"/>
        <v>32.41685386145457</v>
      </c>
      <c r="AQ224" s="778">
        <f t="shared" si="43"/>
        <v>32.815452269825478</v>
      </c>
      <c r="AR224" s="659">
        <f t="shared" si="43"/>
        <v>33.214050678196394</v>
      </c>
      <c r="AS224" s="778">
        <f t="shared" si="43"/>
        <v>33.615911925370064</v>
      </c>
      <c r="AT224" s="778">
        <f t="shared" si="43"/>
        <v>34.017773172543727</v>
      </c>
      <c r="AU224" s="778">
        <f t="shared" si="43"/>
        <v>34.419634419717383</v>
      </c>
      <c r="AV224" s="778">
        <f t="shared" si="44"/>
        <v>34.821495666891053</v>
      </c>
      <c r="AW224" s="778">
        <f t="shared" si="44"/>
        <v>35.223356914064716</v>
      </c>
      <c r="AX224" s="778">
        <f t="shared" si="44"/>
        <v>35.625218161238379</v>
      </c>
      <c r="AY224" s="659">
        <f t="shared" si="44"/>
        <v>36.027079408412035</v>
      </c>
      <c r="AZ224" s="778">
        <f t="shared" si="44"/>
        <v>36.433110384738164</v>
      </c>
      <c r="BA224" s="778">
        <f t="shared" si="44"/>
        <v>36.839141361064279</v>
      </c>
      <c r="BB224" s="778">
        <f t="shared" si="44"/>
        <v>37.2451723373904</v>
      </c>
      <c r="BC224" s="778">
        <f t="shared" si="44"/>
        <v>37.651203313716522</v>
      </c>
      <c r="BD224" s="778">
        <f t="shared" si="44"/>
        <v>38.057234290042643</v>
      </c>
      <c r="BE224" s="654">
        <f t="shared" si="44"/>
        <v>38.463265266368765</v>
      </c>
    </row>
    <row r="225" spans="2:57" ht="14.65" thickBot="1" x14ac:dyDescent="0.5">
      <c r="C225" s="376"/>
      <c r="D225" s="280"/>
      <c r="E225" s="98"/>
      <c r="F225" s="382"/>
      <c r="G225" s="382"/>
      <c r="H225" s="382"/>
      <c r="I225" s="382"/>
      <c r="J225" s="382"/>
      <c r="L225" s="382"/>
      <c r="P225" s="643"/>
      <c r="Q225" s="643"/>
      <c r="R225" s="643"/>
      <c r="S225" s="643"/>
      <c r="T225" s="643"/>
      <c r="U225" s="643"/>
      <c r="V225" s="643"/>
      <c r="W225" s="643"/>
      <c r="X225" s="643"/>
      <c r="Y225" s="643"/>
      <c r="Z225" s="643"/>
      <c r="AA225" s="643"/>
      <c r="AB225" s="643"/>
      <c r="AC225" s="643"/>
      <c r="AD225" s="643"/>
      <c r="AE225" s="643"/>
      <c r="AF225" s="643"/>
      <c r="AG225" s="643"/>
      <c r="AH225" s="643"/>
      <c r="AI225" s="643"/>
      <c r="AK225" s="22"/>
      <c r="AL225" s="728"/>
      <c r="AM225" s="728"/>
      <c r="AN225" s="728"/>
      <c r="AO225" s="728"/>
      <c r="AP225" s="728"/>
      <c r="AQ225" s="728"/>
      <c r="AR225" s="728"/>
      <c r="AS225" s="728"/>
      <c r="AT225" s="728"/>
      <c r="AU225" s="728"/>
      <c r="AV225" s="728"/>
      <c r="AW225" s="728"/>
      <c r="AX225" s="728"/>
      <c r="AY225" s="728"/>
      <c r="AZ225" s="728"/>
      <c r="BA225" s="728"/>
      <c r="BB225" s="728"/>
      <c r="BC225" s="728"/>
      <c r="BD225" s="728"/>
      <c r="BE225" s="728"/>
    </row>
    <row r="226" spans="2:57" x14ac:dyDescent="0.45">
      <c r="B226" s="969" t="s">
        <v>129</v>
      </c>
      <c r="C226" s="972">
        <v>2035</v>
      </c>
      <c r="D226" s="308" t="s">
        <v>185</v>
      </c>
      <c r="E226" s="384" t="s">
        <v>40</v>
      </c>
      <c r="F226" s="377">
        <v>39.816038932302241</v>
      </c>
      <c r="G226" s="377">
        <v>43.066370263302339</v>
      </c>
      <c r="H226" s="377">
        <v>46.362402886555543</v>
      </c>
      <c r="I226" s="377">
        <v>54.2308729217973</v>
      </c>
      <c r="J226" s="377">
        <v>61.173314742244145</v>
      </c>
      <c r="L226" s="377">
        <f>S168</f>
        <v>42.85489698392356</v>
      </c>
      <c r="O226" s="384" t="s">
        <v>40</v>
      </c>
      <c r="P226" s="648">
        <f>F226</f>
        <v>39.816038932302241</v>
      </c>
      <c r="Q226" s="14">
        <f t="shared" ref="Q226:R228" si="45">(Q$217-$P$217)/($S$217-$P$217)*($S226-$P226)+$P226</f>
        <v>40.899482709302276</v>
      </c>
      <c r="R226" s="14">
        <f t="shared" si="45"/>
        <v>41.982926486302304</v>
      </c>
      <c r="S226" s="648">
        <f>G226</f>
        <v>43.066370263302339</v>
      </c>
      <c r="T226" s="170">
        <f t="shared" ref="T226:U228" si="46">(T$217-$S$217)/($V$217-$S$217)*($V226-$S226)+$S226</f>
        <v>44.165047804386738</v>
      </c>
      <c r="U226" s="14">
        <f t="shared" si="46"/>
        <v>45.263725345471144</v>
      </c>
      <c r="V226" s="649">
        <f>H226</f>
        <v>46.362402886555543</v>
      </c>
      <c r="W226" s="14">
        <f t="shared" ref="W226:AB228" si="47">(W$217-$V$217)/($AC$217-$V$217)*($AC226-$V226)+$V226</f>
        <v>47.486470034447223</v>
      </c>
      <c r="X226" s="170">
        <f t="shared" si="47"/>
        <v>48.610537182338902</v>
      </c>
      <c r="Y226" s="14">
        <f t="shared" si="47"/>
        <v>49.734604330230582</v>
      </c>
      <c r="Z226" s="170">
        <f t="shared" si="47"/>
        <v>50.858671478122261</v>
      </c>
      <c r="AA226" s="14">
        <f t="shared" si="47"/>
        <v>51.982738626013941</v>
      </c>
      <c r="AB226" s="170">
        <f t="shared" si="47"/>
        <v>53.10680577390562</v>
      </c>
      <c r="AC226" s="648">
        <f>I226</f>
        <v>54.2308729217973</v>
      </c>
      <c r="AD226" s="170">
        <f t="shared" ref="AD226:AH228" si="48">(AD$217-$AC$217)/($AI$217-$AC$217)*($AI226-$AC226)+$AC226</f>
        <v>55.387946558538438</v>
      </c>
      <c r="AE226" s="14">
        <f t="shared" si="48"/>
        <v>56.545020195279584</v>
      </c>
      <c r="AF226" s="170">
        <f t="shared" si="48"/>
        <v>57.702093832020722</v>
      </c>
      <c r="AG226" s="14">
        <f t="shared" si="48"/>
        <v>58.859167468761861</v>
      </c>
      <c r="AH226" s="170">
        <f t="shared" si="48"/>
        <v>60.016241105503006</v>
      </c>
      <c r="AI226" s="650">
        <f>J226</f>
        <v>61.173314742244145</v>
      </c>
      <c r="AK226" s="22" t="s">
        <v>339</v>
      </c>
      <c r="AL226" s="648">
        <f t="shared" ref="AL226:BE226" si="49">P226</f>
        <v>39.816038932302241</v>
      </c>
      <c r="AM226" s="776">
        <f t="shared" si="49"/>
        <v>40.899482709302276</v>
      </c>
      <c r="AN226" s="776">
        <f t="shared" si="49"/>
        <v>41.982926486302304</v>
      </c>
      <c r="AO226" s="657">
        <f t="shared" si="49"/>
        <v>43.066370263302339</v>
      </c>
      <c r="AP226" s="776">
        <f t="shared" si="49"/>
        <v>44.165047804386738</v>
      </c>
      <c r="AQ226" s="776">
        <f t="shared" si="49"/>
        <v>45.263725345471144</v>
      </c>
      <c r="AR226" s="657">
        <f t="shared" si="49"/>
        <v>46.362402886555543</v>
      </c>
      <c r="AS226" s="776">
        <f t="shared" si="49"/>
        <v>47.486470034447223</v>
      </c>
      <c r="AT226" s="776">
        <f t="shared" si="49"/>
        <v>48.610537182338902</v>
      </c>
      <c r="AU226" s="776">
        <f t="shared" si="49"/>
        <v>49.734604330230582</v>
      </c>
      <c r="AV226" s="776">
        <f t="shared" si="49"/>
        <v>50.858671478122261</v>
      </c>
      <c r="AW226" s="776">
        <f t="shared" si="49"/>
        <v>51.982738626013941</v>
      </c>
      <c r="AX226" s="776">
        <f t="shared" si="49"/>
        <v>53.10680577390562</v>
      </c>
      <c r="AY226" s="657">
        <f t="shared" si="49"/>
        <v>54.2308729217973</v>
      </c>
      <c r="AZ226" s="776">
        <f t="shared" si="49"/>
        <v>55.387946558538438</v>
      </c>
      <c r="BA226" s="776">
        <f t="shared" si="49"/>
        <v>56.545020195279584</v>
      </c>
      <c r="BB226" s="776">
        <f t="shared" si="49"/>
        <v>57.702093832020722</v>
      </c>
      <c r="BC226" s="776">
        <f t="shared" si="49"/>
        <v>58.859167468761861</v>
      </c>
      <c r="BD226" s="776">
        <f t="shared" si="49"/>
        <v>60.016241105503006</v>
      </c>
      <c r="BE226" s="648">
        <f t="shared" si="49"/>
        <v>61.173314742244145</v>
      </c>
    </row>
    <row r="227" spans="2:57" x14ac:dyDescent="0.45">
      <c r="B227" s="970"/>
      <c r="C227" s="973"/>
      <c r="D227" s="309" t="s">
        <v>183</v>
      </c>
      <c r="E227" s="196" t="s">
        <v>49</v>
      </c>
      <c r="F227" s="378">
        <v>2.3450917727482787</v>
      </c>
      <c r="G227" s="378">
        <v>2.5072266722829819</v>
      </c>
      <c r="H227" s="378">
        <v>2.6716117257209802</v>
      </c>
      <c r="I227" s="378">
        <v>3.0639274489224566</v>
      </c>
      <c r="J227" s="378">
        <v>3.4099487357237148</v>
      </c>
      <c r="K227" s="16"/>
      <c r="L227" s="378">
        <f>U169</f>
        <v>2.4963476115194223</v>
      </c>
      <c r="O227" s="196" t="s">
        <v>49</v>
      </c>
      <c r="P227" s="651">
        <f>F227</f>
        <v>2.3450917727482787</v>
      </c>
      <c r="Q227" s="72">
        <f t="shared" si="45"/>
        <v>2.3991367392598466</v>
      </c>
      <c r="R227" s="72">
        <f t="shared" si="45"/>
        <v>2.453181705771414</v>
      </c>
      <c r="S227" s="651">
        <f>G227</f>
        <v>2.5072266722829819</v>
      </c>
      <c r="T227" s="77">
        <f t="shared" si="46"/>
        <v>2.5620216900956478</v>
      </c>
      <c r="U227" s="72">
        <f t="shared" si="46"/>
        <v>2.6168167079083142</v>
      </c>
      <c r="V227" s="652">
        <f>H227</f>
        <v>2.6716117257209802</v>
      </c>
      <c r="W227" s="72">
        <f t="shared" si="47"/>
        <v>2.7276568290354768</v>
      </c>
      <c r="X227" s="77">
        <f t="shared" si="47"/>
        <v>2.7837019323499734</v>
      </c>
      <c r="Y227" s="72">
        <f t="shared" si="47"/>
        <v>2.8397470356644701</v>
      </c>
      <c r="Z227" s="77">
        <f t="shared" si="47"/>
        <v>2.8957921389789667</v>
      </c>
      <c r="AA227" s="72">
        <f t="shared" si="47"/>
        <v>2.9518372422934633</v>
      </c>
      <c r="AB227" s="77">
        <f t="shared" si="47"/>
        <v>3.00788234560796</v>
      </c>
      <c r="AC227" s="651">
        <f>I227</f>
        <v>3.0639274489224566</v>
      </c>
      <c r="AD227" s="77">
        <f t="shared" si="48"/>
        <v>3.1215976633893332</v>
      </c>
      <c r="AE227" s="72">
        <f t="shared" si="48"/>
        <v>3.1792678778562093</v>
      </c>
      <c r="AF227" s="77">
        <f t="shared" si="48"/>
        <v>3.2369380923230855</v>
      </c>
      <c r="AG227" s="72">
        <f t="shared" si="48"/>
        <v>3.2946083067899621</v>
      </c>
      <c r="AH227" s="77">
        <f t="shared" si="48"/>
        <v>3.3522785212568387</v>
      </c>
      <c r="AI227" s="653">
        <f>J227</f>
        <v>3.4099487357237148</v>
      </c>
      <c r="AK227" s="22" t="s">
        <v>340</v>
      </c>
      <c r="AL227" s="651">
        <f t="shared" ref="AL227:AU228" si="50">P227/141.8*3.6*1000</f>
        <v>59.536885626895653</v>
      </c>
      <c r="AM227" s="777">
        <f t="shared" si="50"/>
        <v>60.908972223804277</v>
      </c>
      <c r="AN227" s="777">
        <f t="shared" si="50"/>
        <v>62.281058820712907</v>
      </c>
      <c r="AO227" s="658">
        <f t="shared" si="50"/>
        <v>63.653145417621545</v>
      </c>
      <c r="AP227" s="777">
        <f t="shared" si="50"/>
        <v>65.044274219635611</v>
      </c>
      <c r="AQ227" s="777">
        <f t="shared" si="50"/>
        <v>66.435403021649719</v>
      </c>
      <c r="AR227" s="658">
        <f t="shared" si="50"/>
        <v>67.826531823663814</v>
      </c>
      <c r="AS227" s="777">
        <f t="shared" si="50"/>
        <v>69.249397634187005</v>
      </c>
      <c r="AT227" s="777">
        <f t="shared" si="50"/>
        <v>70.672263444710183</v>
      </c>
      <c r="AU227" s="777">
        <f t="shared" si="50"/>
        <v>72.095129255233374</v>
      </c>
      <c r="AV227" s="777">
        <f t="shared" ref="AV227:BE228" si="51">Z227/141.8*3.6*1000</f>
        <v>73.517995065756551</v>
      </c>
      <c r="AW227" s="777">
        <f t="shared" si="51"/>
        <v>74.940860876279743</v>
      </c>
      <c r="AX227" s="777">
        <f t="shared" si="51"/>
        <v>76.36372668680292</v>
      </c>
      <c r="AY227" s="658">
        <f t="shared" si="51"/>
        <v>77.786592497326112</v>
      </c>
      <c r="AZ227" s="777">
        <f t="shared" si="51"/>
        <v>79.250716418911125</v>
      </c>
      <c r="BA227" s="777">
        <f t="shared" si="51"/>
        <v>80.714840340496139</v>
      </c>
      <c r="BB227" s="777">
        <f t="shared" si="51"/>
        <v>82.178964262081152</v>
      </c>
      <c r="BC227" s="777">
        <f t="shared" si="51"/>
        <v>83.643088183666165</v>
      </c>
      <c r="BD227" s="777">
        <f t="shared" si="51"/>
        <v>85.107212105251179</v>
      </c>
      <c r="BE227" s="651">
        <f t="shared" si="51"/>
        <v>86.571336026836192</v>
      </c>
    </row>
    <row r="228" spans="2:57" ht="14.65" thickBot="1" x14ac:dyDescent="0.5">
      <c r="B228" s="970"/>
      <c r="C228" s="974"/>
      <c r="D228" s="310" t="s">
        <v>184</v>
      </c>
      <c r="E228" s="133" t="s">
        <v>49</v>
      </c>
      <c r="F228" s="379">
        <v>2.1946539158751883</v>
      </c>
      <c r="G228" s="379">
        <v>2.2542175616685753</v>
      </c>
      <c r="H228" s="379">
        <v>2.3143992166520695</v>
      </c>
      <c r="I228" s="379">
        <v>2.457226447352864</v>
      </c>
      <c r="J228" s="379">
        <v>2.5823278277773447</v>
      </c>
      <c r="K228" s="7"/>
      <c r="L228" s="379">
        <f>U171</f>
        <v>2.2653800379015152</v>
      </c>
      <c r="O228" s="133" t="s">
        <v>49</v>
      </c>
      <c r="P228" s="654">
        <f>F228</f>
        <v>2.1946539158751883</v>
      </c>
      <c r="Q228" s="15">
        <f t="shared" si="45"/>
        <v>2.214508464472984</v>
      </c>
      <c r="R228" s="15">
        <f t="shared" si="45"/>
        <v>2.2343630130707797</v>
      </c>
      <c r="S228" s="654">
        <f>G228</f>
        <v>2.2542175616685753</v>
      </c>
      <c r="T228" s="78">
        <f t="shared" si="46"/>
        <v>2.2742781133297401</v>
      </c>
      <c r="U228" s="15">
        <f t="shared" si="46"/>
        <v>2.2943386649909048</v>
      </c>
      <c r="V228" s="655">
        <f>H228</f>
        <v>2.3143992166520695</v>
      </c>
      <c r="W228" s="15">
        <f t="shared" si="47"/>
        <v>2.3348031067521831</v>
      </c>
      <c r="X228" s="78">
        <f t="shared" si="47"/>
        <v>2.3552069968522966</v>
      </c>
      <c r="Y228" s="15">
        <f t="shared" si="47"/>
        <v>2.3756108869524102</v>
      </c>
      <c r="Z228" s="78">
        <f t="shared" si="47"/>
        <v>2.3960147770525233</v>
      </c>
      <c r="AA228" s="15">
        <f t="shared" si="47"/>
        <v>2.4164186671526369</v>
      </c>
      <c r="AB228" s="78">
        <f t="shared" si="47"/>
        <v>2.4368225572527504</v>
      </c>
      <c r="AC228" s="654">
        <f>I228</f>
        <v>2.457226447352864</v>
      </c>
      <c r="AD228" s="78">
        <f t="shared" si="48"/>
        <v>2.4780766774236107</v>
      </c>
      <c r="AE228" s="15">
        <f t="shared" si="48"/>
        <v>2.4989269074943574</v>
      </c>
      <c r="AF228" s="78">
        <f t="shared" si="48"/>
        <v>2.5197771375651046</v>
      </c>
      <c r="AG228" s="15">
        <f t="shared" si="48"/>
        <v>2.5406273676358513</v>
      </c>
      <c r="AH228" s="78">
        <f t="shared" si="48"/>
        <v>2.561477597706598</v>
      </c>
      <c r="AI228" s="656">
        <f>J228</f>
        <v>2.5823278277773447</v>
      </c>
      <c r="AK228" s="22" t="s">
        <v>340</v>
      </c>
      <c r="AL228" s="654">
        <f t="shared" si="50"/>
        <v>55.717588837451885</v>
      </c>
      <c r="AM228" s="778">
        <f t="shared" si="50"/>
        <v>56.22165354092202</v>
      </c>
      <c r="AN228" s="778">
        <f t="shared" si="50"/>
        <v>56.725718244392155</v>
      </c>
      <c r="AO228" s="659">
        <f t="shared" si="50"/>
        <v>57.229782947862276</v>
      </c>
      <c r="AP228" s="778">
        <f t="shared" si="50"/>
        <v>57.739077630374219</v>
      </c>
      <c r="AQ228" s="778">
        <f t="shared" si="50"/>
        <v>58.248372312886161</v>
      </c>
      <c r="AR228" s="659">
        <f t="shared" si="50"/>
        <v>58.75766699539809</v>
      </c>
      <c r="AS228" s="778">
        <f t="shared" si="50"/>
        <v>59.275678309646395</v>
      </c>
      <c r="AT228" s="778">
        <f t="shared" si="50"/>
        <v>59.7936896238947</v>
      </c>
      <c r="AU228" s="778">
        <f t="shared" si="50"/>
        <v>60.311700938142991</v>
      </c>
      <c r="AV228" s="778">
        <f t="shared" si="51"/>
        <v>60.829712252391275</v>
      </c>
      <c r="AW228" s="778">
        <f t="shared" si="51"/>
        <v>61.347723566639573</v>
      </c>
      <c r="AX228" s="778">
        <f t="shared" si="51"/>
        <v>61.865734880887885</v>
      </c>
      <c r="AY228" s="659">
        <f t="shared" si="51"/>
        <v>62.383746195136183</v>
      </c>
      <c r="AZ228" s="778">
        <f t="shared" si="51"/>
        <v>62.913089130641723</v>
      </c>
      <c r="BA228" s="778">
        <f t="shared" si="51"/>
        <v>63.44243206614729</v>
      </c>
      <c r="BB228" s="778">
        <f t="shared" si="51"/>
        <v>63.971775001652865</v>
      </c>
      <c r="BC228" s="778">
        <f t="shared" si="51"/>
        <v>64.501117937158426</v>
      </c>
      <c r="BD228" s="778">
        <f t="shared" si="51"/>
        <v>65.03046087266398</v>
      </c>
      <c r="BE228" s="654">
        <f t="shared" si="51"/>
        <v>65.559803808169534</v>
      </c>
    </row>
    <row r="229" spans="2:57" ht="14.65" thickBot="1" x14ac:dyDescent="0.5">
      <c r="B229" s="970"/>
      <c r="C229" s="371"/>
      <c r="D229" s="1"/>
      <c r="E229" s="342"/>
      <c r="F229" s="382"/>
      <c r="G229" s="382"/>
      <c r="H229" s="382"/>
      <c r="I229" s="382"/>
      <c r="J229" s="382"/>
      <c r="L229" s="382"/>
      <c r="P229" s="643"/>
      <c r="Q229" s="643"/>
      <c r="R229" s="643"/>
      <c r="S229" s="643"/>
      <c r="T229" s="643"/>
      <c r="U229" s="643"/>
      <c r="V229" s="643"/>
      <c r="W229" s="643"/>
      <c r="X229" s="643"/>
      <c r="Y229" s="643"/>
      <c r="Z229" s="643"/>
      <c r="AA229" s="643"/>
      <c r="AB229" s="643"/>
      <c r="AC229" s="643"/>
      <c r="AD229" s="643"/>
      <c r="AE229" s="643"/>
      <c r="AF229" s="643"/>
      <c r="AG229" s="643"/>
      <c r="AH229" s="643"/>
      <c r="AI229" s="643"/>
      <c r="AK229" s="22"/>
      <c r="AL229" s="728"/>
      <c r="AM229" s="728"/>
      <c r="AN229" s="728"/>
      <c r="AO229" s="728"/>
      <c r="AP229" s="728"/>
      <c r="AQ229" s="728"/>
      <c r="AR229" s="728"/>
      <c r="AS229" s="728"/>
      <c r="AT229" s="728"/>
      <c r="AU229" s="728"/>
      <c r="AV229" s="728"/>
      <c r="AW229" s="728"/>
      <c r="AX229" s="728"/>
      <c r="AY229" s="728"/>
      <c r="AZ229" s="728"/>
      <c r="BA229" s="728"/>
      <c r="BB229" s="728"/>
      <c r="BC229" s="728"/>
      <c r="BD229" s="728"/>
      <c r="BE229" s="728"/>
    </row>
    <row r="230" spans="2:57" x14ac:dyDescent="0.45">
      <c r="B230" s="970"/>
      <c r="C230" s="969">
        <v>2050</v>
      </c>
      <c r="D230" s="367" t="s">
        <v>185</v>
      </c>
      <c r="E230" s="384" t="s">
        <v>40</v>
      </c>
      <c r="F230" s="377">
        <v>29.178852007704304</v>
      </c>
      <c r="G230" s="377">
        <v>32.434747489814491</v>
      </c>
      <c r="H230" s="377">
        <v>35.748105858193014</v>
      </c>
      <c r="I230" s="377">
        <v>43.705049393100474</v>
      </c>
      <c r="J230" s="377">
        <v>50.780027660717089</v>
      </c>
      <c r="L230" s="377">
        <f>T168</f>
        <v>31.98028493620787</v>
      </c>
      <c r="O230" s="384" t="s">
        <v>40</v>
      </c>
      <c r="P230" s="648">
        <f>F230</f>
        <v>29.178852007704304</v>
      </c>
      <c r="Q230" s="14">
        <f t="shared" ref="Q230:R232" si="52">(Q$217-$P$217)/($S$217-$P$217)*($S230-$P230)+$P230</f>
        <v>30.264150501741032</v>
      </c>
      <c r="R230" s="14">
        <f t="shared" si="52"/>
        <v>31.349448995777763</v>
      </c>
      <c r="S230" s="648">
        <f>G230</f>
        <v>32.434747489814491</v>
      </c>
      <c r="T230" s="170">
        <f t="shared" ref="T230:U232" si="53">(T$217-$S$217)/($V$217-$S$217)*($V230-$S230)+$S230</f>
        <v>33.539200279273999</v>
      </c>
      <c r="U230" s="14">
        <f t="shared" si="53"/>
        <v>34.643653068733506</v>
      </c>
      <c r="V230" s="649">
        <f>H230</f>
        <v>35.748105858193014</v>
      </c>
      <c r="W230" s="14">
        <f t="shared" ref="W230:AB232" si="54">(W$217-$V$217)/($AC$217-$V$217)*($AC230-$V230)+$V230</f>
        <v>36.884812077465511</v>
      </c>
      <c r="X230" s="170">
        <f t="shared" si="54"/>
        <v>38.021518296738002</v>
      </c>
      <c r="Y230" s="14">
        <f t="shared" si="54"/>
        <v>39.158224516010499</v>
      </c>
      <c r="Z230" s="170">
        <f t="shared" si="54"/>
        <v>40.294930735282989</v>
      </c>
      <c r="AA230" s="14">
        <f t="shared" si="54"/>
        <v>41.431636954555486</v>
      </c>
      <c r="AB230" s="170">
        <f t="shared" si="54"/>
        <v>42.568343173827976</v>
      </c>
      <c r="AC230" s="648">
        <f>I230</f>
        <v>43.705049393100474</v>
      </c>
      <c r="AD230" s="170">
        <f t="shared" ref="AD230:AH232" si="55">(AD$217-$AC$217)/($AI$217-$AC$217)*($AI230-$AC230)+$AC230</f>
        <v>44.884212437703241</v>
      </c>
      <c r="AE230" s="14">
        <f t="shared" si="55"/>
        <v>46.063375482306014</v>
      </c>
      <c r="AF230" s="170">
        <f t="shared" si="55"/>
        <v>47.242538526908781</v>
      </c>
      <c r="AG230" s="14">
        <f t="shared" si="55"/>
        <v>48.421701571511548</v>
      </c>
      <c r="AH230" s="170">
        <f t="shared" si="55"/>
        <v>49.600864616114322</v>
      </c>
      <c r="AI230" s="650">
        <f>J230</f>
        <v>50.780027660717089</v>
      </c>
      <c r="AK230" s="22" t="s">
        <v>339</v>
      </c>
      <c r="AL230" s="648">
        <f t="shared" ref="AL230:BE230" si="56">P230</f>
        <v>29.178852007704304</v>
      </c>
      <c r="AM230" s="776">
        <f t="shared" si="56"/>
        <v>30.264150501741032</v>
      </c>
      <c r="AN230" s="776">
        <f t="shared" si="56"/>
        <v>31.349448995777763</v>
      </c>
      <c r="AO230" s="657">
        <f t="shared" si="56"/>
        <v>32.434747489814491</v>
      </c>
      <c r="AP230" s="776">
        <f t="shared" si="56"/>
        <v>33.539200279273999</v>
      </c>
      <c r="AQ230" s="776">
        <f t="shared" si="56"/>
        <v>34.643653068733506</v>
      </c>
      <c r="AR230" s="657">
        <f t="shared" si="56"/>
        <v>35.748105858193014</v>
      </c>
      <c r="AS230" s="776">
        <f t="shared" si="56"/>
        <v>36.884812077465511</v>
      </c>
      <c r="AT230" s="776">
        <f t="shared" si="56"/>
        <v>38.021518296738002</v>
      </c>
      <c r="AU230" s="776">
        <f t="shared" si="56"/>
        <v>39.158224516010499</v>
      </c>
      <c r="AV230" s="776">
        <f t="shared" si="56"/>
        <v>40.294930735282989</v>
      </c>
      <c r="AW230" s="776">
        <f t="shared" si="56"/>
        <v>41.431636954555486</v>
      </c>
      <c r="AX230" s="776">
        <f t="shared" si="56"/>
        <v>42.568343173827976</v>
      </c>
      <c r="AY230" s="657">
        <f t="shared" si="56"/>
        <v>43.705049393100474</v>
      </c>
      <c r="AZ230" s="776">
        <f t="shared" si="56"/>
        <v>44.884212437703241</v>
      </c>
      <c r="BA230" s="776">
        <f t="shared" si="56"/>
        <v>46.063375482306014</v>
      </c>
      <c r="BB230" s="776">
        <f t="shared" si="56"/>
        <v>47.242538526908781</v>
      </c>
      <c r="BC230" s="776">
        <f t="shared" si="56"/>
        <v>48.421701571511548</v>
      </c>
      <c r="BD230" s="776">
        <f t="shared" si="56"/>
        <v>49.600864616114322</v>
      </c>
      <c r="BE230" s="648">
        <f t="shared" si="56"/>
        <v>50.780027660717089</v>
      </c>
    </row>
    <row r="231" spans="2:57" x14ac:dyDescent="0.45">
      <c r="B231" s="970"/>
      <c r="C231" s="970"/>
      <c r="D231" s="368" t="s">
        <v>183</v>
      </c>
      <c r="E231" s="196" t="s">
        <v>49</v>
      </c>
      <c r="F231" s="378">
        <v>1.5576974220828719</v>
      </c>
      <c r="G231" s="378">
        <v>1.7055451463091083</v>
      </c>
      <c r="H231" s="378">
        <v>1.8559796125267256</v>
      </c>
      <c r="I231" s="378">
        <v>2.2171567811400146</v>
      </c>
      <c r="J231" s="378">
        <v>2.5382045977263243</v>
      </c>
      <c r="K231" s="16"/>
      <c r="L231" s="378">
        <f>V169</f>
        <v>1.6848025073386812</v>
      </c>
      <c r="O231" s="196" t="s">
        <v>49</v>
      </c>
      <c r="P231" s="651">
        <f>F231</f>
        <v>1.5576974220828719</v>
      </c>
      <c r="Q231" s="72">
        <f t="shared" si="52"/>
        <v>1.6069799968249507</v>
      </c>
      <c r="R231" s="72">
        <f t="shared" si="52"/>
        <v>1.6562625715670294</v>
      </c>
      <c r="S231" s="651">
        <f>G231</f>
        <v>1.7055451463091083</v>
      </c>
      <c r="T231" s="77">
        <f t="shared" si="53"/>
        <v>1.7556899683816474</v>
      </c>
      <c r="U231" s="72">
        <f t="shared" si="53"/>
        <v>1.8058347904541865</v>
      </c>
      <c r="V231" s="652">
        <f>H231</f>
        <v>1.8559796125267256</v>
      </c>
      <c r="W231" s="72">
        <f t="shared" si="54"/>
        <v>1.9075763509000525</v>
      </c>
      <c r="X231" s="77">
        <f t="shared" si="54"/>
        <v>1.9591730892733796</v>
      </c>
      <c r="Y231" s="72">
        <f t="shared" si="54"/>
        <v>2.0107698276467065</v>
      </c>
      <c r="Z231" s="77">
        <f t="shared" si="54"/>
        <v>2.0623665660200334</v>
      </c>
      <c r="AA231" s="72">
        <f t="shared" si="54"/>
        <v>2.1139633043933608</v>
      </c>
      <c r="AB231" s="77">
        <f t="shared" si="54"/>
        <v>2.1655600427666877</v>
      </c>
      <c r="AC231" s="651">
        <f>I231</f>
        <v>2.2171567811400146</v>
      </c>
      <c r="AD231" s="77">
        <f t="shared" si="55"/>
        <v>2.2706647505710662</v>
      </c>
      <c r="AE231" s="72">
        <f t="shared" si="55"/>
        <v>2.3241727200021178</v>
      </c>
      <c r="AF231" s="77">
        <f t="shared" si="55"/>
        <v>2.3776806894331695</v>
      </c>
      <c r="AG231" s="72">
        <f t="shared" si="55"/>
        <v>2.4311886588642211</v>
      </c>
      <c r="AH231" s="77">
        <f t="shared" si="55"/>
        <v>2.4846966282952727</v>
      </c>
      <c r="AI231" s="653">
        <f>J231</f>
        <v>2.5382045977263243</v>
      </c>
      <c r="AK231" s="22" t="s">
        <v>340</v>
      </c>
      <c r="AL231" s="651">
        <f t="shared" ref="AL231:AU232" si="57">P231/141.8*3.6*1000</f>
        <v>39.546620024670929</v>
      </c>
      <c r="AM231" s="777">
        <f t="shared" si="57"/>
        <v>40.797799637304806</v>
      </c>
      <c r="AN231" s="777">
        <f t="shared" si="57"/>
        <v>42.048979249938689</v>
      </c>
      <c r="AO231" s="658">
        <f t="shared" si="57"/>
        <v>43.300158862572559</v>
      </c>
      <c r="AP231" s="777">
        <f t="shared" si="57"/>
        <v>44.573229098546754</v>
      </c>
      <c r="AQ231" s="777">
        <f t="shared" si="57"/>
        <v>45.84629933452095</v>
      </c>
      <c r="AR231" s="658">
        <f t="shared" si="57"/>
        <v>47.119369570495145</v>
      </c>
      <c r="AS231" s="777">
        <f t="shared" si="57"/>
        <v>48.429300869112758</v>
      </c>
      <c r="AT231" s="777">
        <f t="shared" si="57"/>
        <v>49.739232167730371</v>
      </c>
      <c r="AU231" s="777">
        <f t="shared" si="57"/>
        <v>51.049163466347977</v>
      </c>
      <c r="AV231" s="777">
        <f t="shared" ref="AV231:BE232" si="58">Z231/141.8*3.6*1000</f>
        <v>52.359094764965583</v>
      </c>
      <c r="AW231" s="777">
        <f t="shared" si="58"/>
        <v>53.669026063583203</v>
      </c>
      <c r="AX231" s="777">
        <f t="shared" si="58"/>
        <v>54.978957362200816</v>
      </c>
      <c r="AY231" s="658">
        <f t="shared" si="58"/>
        <v>56.288888660818422</v>
      </c>
      <c r="AZ231" s="777">
        <f t="shared" si="58"/>
        <v>57.647342045527772</v>
      </c>
      <c r="BA231" s="777">
        <f t="shared" si="58"/>
        <v>59.005795430237114</v>
      </c>
      <c r="BB231" s="777">
        <f t="shared" si="58"/>
        <v>60.364248814946471</v>
      </c>
      <c r="BC231" s="777">
        <f t="shared" si="58"/>
        <v>61.722702199655821</v>
      </c>
      <c r="BD231" s="777">
        <f t="shared" si="58"/>
        <v>63.08115558436517</v>
      </c>
      <c r="BE231" s="651">
        <f t="shared" si="58"/>
        <v>64.439608969074527</v>
      </c>
    </row>
    <row r="232" spans="2:57" ht="14.65" thickBot="1" x14ac:dyDescent="0.5">
      <c r="B232" s="971"/>
      <c r="C232" s="971"/>
      <c r="D232" s="369" t="s">
        <v>184</v>
      </c>
      <c r="E232" s="133" t="s">
        <v>49</v>
      </c>
      <c r="F232" s="379">
        <v>1.4180250088300619</v>
      </c>
      <c r="G232" s="379">
        <v>1.474955955205572</v>
      </c>
      <c r="H232" s="379">
        <v>1.5322184638052418</v>
      </c>
      <c r="I232" s="379">
        <v>1.6671203925206464</v>
      </c>
      <c r="J232" s="379">
        <v>1.7841873867718743</v>
      </c>
      <c r="K232" s="7"/>
      <c r="L232" s="379">
        <f>V171</f>
        <v>1.4735221555656852</v>
      </c>
      <c r="O232" s="133" t="s">
        <v>49</v>
      </c>
      <c r="P232" s="654">
        <f>F232</f>
        <v>1.4180250088300619</v>
      </c>
      <c r="Q232" s="15">
        <f t="shared" si="52"/>
        <v>1.4370019909552318</v>
      </c>
      <c r="R232" s="15">
        <f t="shared" si="52"/>
        <v>1.455978973080402</v>
      </c>
      <c r="S232" s="654">
        <f>G232</f>
        <v>1.474955955205572</v>
      </c>
      <c r="T232" s="78">
        <f t="shared" si="53"/>
        <v>1.4940434580721287</v>
      </c>
      <c r="U232" s="15">
        <f t="shared" si="53"/>
        <v>1.5131309609386852</v>
      </c>
      <c r="V232" s="655">
        <f>H232</f>
        <v>1.5322184638052418</v>
      </c>
      <c r="W232" s="15">
        <f t="shared" si="54"/>
        <v>1.5514901679074424</v>
      </c>
      <c r="X232" s="78">
        <f t="shared" si="54"/>
        <v>1.5707618720096432</v>
      </c>
      <c r="Y232" s="15">
        <f t="shared" si="54"/>
        <v>1.5900335761118438</v>
      </c>
      <c r="Z232" s="78">
        <f t="shared" si="54"/>
        <v>1.6093052802140444</v>
      </c>
      <c r="AA232" s="15">
        <f t="shared" si="54"/>
        <v>1.628576984316245</v>
      </c>
      <c r="AB232" s="78">
        <f t="shared" si="54"/>
        <v>1.6478486884184458</v>
      </c>
      <c r="AC232" s="654">
        <f>I232</f>
        <v>1.6671203925206464</v>
      </c>
      <c r="AD232" s="78">
        <f t="shared" si="55"/>
        <v>1.6866315582291844</v>
      </c>
      <c r="AE232" s="15">
        <f t="shared" si="55"/>
        <v>1.7061427239377223</v>
      </c>
      <c r="AF232" s="78">
        <f t="shared" si="55"/>
        <v>1.7256538896462603</v>
      </c>
      <c r="AG232" s="15">
        <f t="shared" si="55"/>
        <v>1.7451650553547984</v>
      </c>
      <c r="AH232" s="78">
        <f t="shared" si="55"/>
        <v>1.7646762210633362</v>
      </c>
      <c r="AI232" s="656">
        <f>J232</f>
        <v>1.7841873867718743</v>
      </c>
      <c r="AK232" s="22" t="s">
        <v>340</v>
      </c>
      <c r="AL232" s="654">
        <f t="shared" si="57"/>
        <v>36.000634920932455</v>
      </c>
      <c r="AM232" s="778">
        <f t="shared" si="57"/>
        <v>36.482420080668788</v>
      </c>
      <c r="AN232" s="778">
        <f t="shared" si="57"/>
        <v>36.964205240405128</v>
      </c>
      <c r="AO232" s="659">
        <f t="shared" si="57"/>
        <v>37.445990400141461</v>
      </c>
      <c r="AP232" s="778">
        <f t="shared" si="57"/>
        <v>37.930581446118914</v>
      </c>
      <c r="AQ232" s="778">
        <f t="shared" si="57"/>
        <v>38.415172492096382</v>
      </c>
      <c r="AR232" s="659">
        <f t="shared" si="57"/>
        <v>38.899763538073842</v>
      </c>
      <c r="AS232" s="778">
        <f t="shared" si="57"/>
        <v>39.389031061119837</v>
      </c>
      <c r="AT232" s="778">
        <f t="shared" si="57"/>
        <v>39.878298584165833</v>
      </c>
      <c r="AU232" s="778">
        <f t="shared" si="57"/>
        <v>40.367566107211829</v>
      </c>
      <c r="AV232" s="778">
        <f t="shared" si="58"/>
        <v>40.856833630257825</v>
      </c>
      <c r="AW232" s="778">
        <f t="shared" si="58"/>
        <v>41.34610115330382</v>
      </c>
      <c r="AX232" s="778">
        <f t="shared" si="58"/>
        <v>41.835368676349823</v>
      </c>
      <c r="AY232" s="659">
        <f t="shared" si="58"/>
        <v>42.324636199395819</v>
      </c>
      <c r="AZ232" s="778">
        <f t="shared" si="58"/>
        <v>42.81998314263091</v>
      </c>
      <c r="BA232" s="778">
        <f t="shared" si="58"/>
        <v>43.315330085866009</v>
      </c>
      <c r="BB232" s="778">
        <f t="shared" si="58"/>
        <v>43.810677029101107</v>
      </c>
      <c r="BC232" s="778">
        <f t="shared" si="58"/>
        <v>44.306023972336206</v>
      </c>
      <c r="BD232" s="778">
        <f t="shared" si="58"/>
        <v>44.801370915571297</v>
      </c>
      <c r="BE232" s="654">
        <f t="shared" si="58"/>
        <v>45.296717858806403</v>
      </c>
    </row>
    <row r="233" spans="2:57" x14ac:dyDescent="0.45">
      <c r="B233" s="376"/>
      <c r="C233" s="376"/>
      <c r="D233" s="280"/>
      <c r="E233" s="179"/>
      <c r="F233" s="17"/>
      <c r="G233" s="17"/>
      <c r="H233" s="17"/>
      <c r="I233" s="17"/>
    </row>
    <row r="234" spans="2:57" ht="14.65" thickBot="1" x14ac:dyDescent="0.5">
      <c r="B234" s="376"/>
      <c r="C234" s="376"/>
      <c r="D234" s="280"/>
      <c r="E234" s="179"/>
      <c r="F234" s="17"/>
      <c r="G234" s="17"/>
      <c r="H234" s="17"/>
      <c r="I234" s="17"/>
    </row>
    <row r="235" spans="2:57" ht="14.65" thickBot="1" x14ac:dyDescent="0.5">
      <c r="C235" s="370"/>
      <c r="D235" s="60" t="s">
        <v>161</v>
      </c>
      <c r="F235" s="956" t="s">
        <v>187</v>
      </c>
      <c r="G235" s="958"/>
      <c r="H235" s="979" t="s">
        <v>188</v>
      </c>
      <c r="I235" s="980"/>
      <c r="J235" s="979" t="s">
        <v>189</v>
      </c>
      <c r="K235" s="980"/>
      <c r="L235" s="979" t="s">
        <v>190</v>
      </c>
      <c r="M235" s="980"/>
    </row>
    <row r="236" spans="2:57" ht="14.65" thickBot="1" x14ac:dyDescent="0.5">
      <c r="C236" s="370"/>
      <c r="D236" s="383" t="s">
        <v>192</v>
      </c>
      <c r="F236" s="956" t="s">
        <v>140</v>
      </c>
      <c r="G236" s="958"/>
      <c r="H236" s="956" t="s">
        <v>140</v>
      </c>
      <c r="I236" s="958"/>
      <c r="J236" s="956" t="s">
        <v>129</v>
      </c>
      <c r="K236" s="958"/>
      <c r="L236" s="956" t="s">
        <v>140</v>
      </c>
      <c r="M236" s="958"/>
    </row>
    <row r="237" spans="2:57" x14ac:dyDescent="0.45">
      <c r="C237" s="370"/>
      <c r="F237" s="343" t="s">
        <v>163</v>
      </c>
      <c r="G237" s="344" t="s">
        <v>162</v>
      </c>
      <c r="H237" s="343" t="s">
        <v>163</v>
      </c>
      <c r="I237" s="344" t="s">
        <v>162</v>
      </c>
      <c r="J237" s="343" t="s">
        <v>163</v>
      </c>
      <c r="K237" s="344" t="s">
        <v>162</v>
      </c>
      <c r="L237" s="343" t="s">
        <v>163</v>
      </c>
      <c r="M237" s="344" t="s">
        <v>162</v>
      </c>
    </row>
    <row r="238" spans="2:57" ht="14.65" thickBot="1" x14ac:dyDescent="0.5">
      <c r="D238" s="4"/>
      <c r="F238" s="74" t="s">
        <v>30</v>
      </c>
      <c r="G238" s="82" t="s">
        <v>43</v>
      </c>
      <c r="H238" s="74" t="s">
        <v>30</v>
      </c>
      <c r="I238" s="82" t="s">
        <v>43</v>
      </c>
      <c r="J238" s="74" t="s">
        <v>30</v>
      </c>
      <c r="K238" s="82" t="s">
        <v>43</v>
      </c>
      <c r="L238" s="74" t="s">
        <v>30</v>
      </c>
      <c r="M238" s="82" t="s">
        <v>43</v>
      </c>
    </row>
    <row r="239" spans="2:57" ht="14.65" thickBot="1" x14ac:dyDescent="0.5">
      <c r="F239" s="30"/>
      <c r="G239" s="189"/>
      <c r="H239" s="30"/>
      <c r="I239" s="189"/>
      <c r="J239" s="30"/>
      <c r="K239" s="189"/>
      <c r="L239" s="30"/>
      <c r="M239" s="189"/>
    </row>
    <row r="240" spans="2:57" x14ac:dyDescent="0.45">
      <c r="C240" s="969">
        <v>2023</v>
      </c>
      <c r="D240" s="308" t="s">
        <v>185</v>
      </c>
      <c r="E240" s="372" t="s">
        <v>40</v>
      </c>
      <c r="F240" s="387"/>
      <c r="G240" s="388"/>
      <c r="H240" s="387"/>
      <c r="I240" s="388"/>
      <c r="J240" s="387"/>
      <c r="K240" s="388"/>
      <c r="L240" s="387"/>
      <c r="M240" s="388"/>
    </row>
    <row r="241" spans="3:14" x14ac:dyDescent="0.45">
      <c r="C241" s="970"/>
      <c r="D241" s="309" t="s">
        <v>183</v>
      </c>
      <c r="E241" s="311" t="s">
        <v>49</v>
      </c>
      <c r="F241" s="389"/>
      <c r="G241" s="390"/>
      <c r="H241" s="389"/>
      <c r="I241" s="390"/>
      <c r="J241" s="389"/>
      <c r="K241" s="390"/>
      <c r="L241" s="389"/>
      <c r="M241" s="390"/>
    </row>
    <row r="242" spans="3:14" ht="14.65" thickBot="1" x14ac:dyDescent="0.5">
      <c r="C242" s="971"/>
      <c r="D242" s="310" t="s">
        <v>184</v>
      </c>
      <c r="E242" s="312" t="s">
        <v>49</v>
      </c>
      <c r="F242" s="391"/>
      <c r="G242" s="392"/>
      <c r="H242" s="391"/>
      <c r="I242" s="392"/>
      <c r="J242" s="391"/>
      <c r="K242" s="392"/>
      <c r="L242" s="391"/>
      <c r="M242" s="392"/>
    </row>
    <row r="243" spans="3:14" ht="14.65" thickBot="1" x14ac:dyDescent="0.5">
      <c r="C243" s="371"/>
      <c r="D243" s="1"/>
    </row>
    <row r="244" spans="3:14" x14ac:dyDescent="0.45">
      <c r="C244" s="969">
        <v>2050</v>
      </c>
      <c r="D244" s="367" t="s">
        <v>185</v>
      </c>
      <c r="E244" s="372" t="s">
        <v>40</v>
      </c>
      <c r="F244" s="387"/>
      <c r="G244" s="388"/>
      <c r="H244" s="387"/>
      <c r="I244" s="388"/>
      <c r="J244" s="387"/>
      <c r="K244" s="388"/>
      <c r="L244" s="387"/>
      <c r="M244" s="388"/>
    </row>
    <row r="245" spans="3:14" x14ac:dyDescent="0.45">
      <c r="C245" s="970"/>
      <c r="D245" s="368" t="s">
        <v>183</v>
      </c>
      <c r="E245" s="311" t="s">
        <v>49</v>
      </c>
      <c r="F245" s="389"/>
      <c r="G245" s="390"/>
      <c r="H245" s="389"/>
      <c r="I245" s="390"/>
      <c r="J245" s="389"/>
      <c r="K245" s="390"/>
      <c r="L245" s="389"/>
      <c r="M245" s="390"/>
    </row>
    <row r="246" spans="3:14" ht="14.65" thickBot="1" x14ac:dyDescent="0.5">
      <c r="C246" s="971"/>
      <c r="D246" s="369" t="s">
        <v>184</v>
      </c>
      <c r="E246" s="312" t="s">
        <v>49</v>
      </c>
      <c r="F246" s="391"/>
      <c r="G246" s="392"/>
      <c r="H246" s="391"/>
      <c r="I246" s="392"/>
      <c r="J246" s="391"/>
      <c r="K246" s="392"/>
      <c r="L246" s="391"/>
      <c r="M246" s="392"/>
    </row>
    <row r="247" spans="3:14" x14ac:dyDescent="0.45">
      <c r="M247" s="33"/>
      <c r="N247" s="77"/>
    </row>
    <row r="248" spans="3:14" ht="14.65" thickBot="1" x14ac:dyDescent="0.5">
      <c r="M248" s="33"/>
      <c r="N248" s="341"/>
    </row>
    <row r="249" spans="3:14" ht="14.65" thickBot="1" x14ac:dyDescent="0.5">
      <c r="D249" s="60" t="s">
        <v>200</v>
      </c>
      <c r="E249" s="30" t="s">
        <v>199</v>
      </c>
      <c r="F249" s="105">
        <f>K127</f>
        <v>50</v>
      </c>
      <c r="G249" s="189" t="s">
        <v>43</v>
      </c>
      <c r="H249" s="30" t="s">
        <v>55</v>
      </c>
      <c r="I249" s="105">
        <f>L124/50*1000</f>
        <v>75</v>
      </c>
      <c r="J249" s="189" t="s">
        <v>30</v>
      </c>
      <c r="M249" s="33"/>
      <c r="N249" s="77"/>
    </row>
    <row r="250" spans="3:14" ht="14.65" thickBot="1" x14ac:dyDescent="0.5">
      <c r="M250" s="33"/>
      <c r="N250" s="77"/>
    </row>
    <row r="251" spans="3:14" ht="14.65" thickBot="1" x14ac:dyDescent="0.5">
      <c r="C251" s="969" t="s">
        <v>5</v>
      </c>
      <c r="D251" s="45"/>
      <c r="E251" s="964" t="s">
        <v>140</v>
      </c>
      <c r="F251" s="966"/>
      <c r="G251" s="966"/>
      <c r="H251" s="965"/>
      <c r="J251" s="964" t="s">
        <v>129</v>
      </c>
      <c r="K251" s="966"/>
      <c r="L251" s="966"/>
      <c r="M251" s="965"/>
      <c r="N251" s="77"/>
    </row>
    <row r="252" spans="3:14" ht="14.65" thickBot="1" x14ac:dyDescent="0.5">
      <c r="C252" s="970"/>
      <c r="D252" s="34"/>
      <c r="E252" s="964">
        <v>2035</v>
      </c>
      <c r="F252" s="965"/>
      <c r="G252" s="964">
        <v>2050</v>
      </c>
      <c r="H252" s="965"/>
      <c r="J252" s="964">
        <v>2035</v>
      </c>
      <c r="K252" s="965"/>
      <c r="L252" s="964">
        <v>2050</v>
      </c>
      <c r="M252" s="965"/>
      <c r="N252" s="267"/>
    </row>
    <row r="253" spans="3:14" ht="14.65" thickBot="1" x14ac:dyDescent="0.5">
      <c r="C253" s="970"/>
      <c r="D253" s="40"/>
      <c r="E253" s="31" t="s">
        <v>197</v>
      </c>
      <c r="F253" s="209" t="s">
        <v>29</v>
      </c>
      <c r="G253" s="31" t="s">
        <v>197</v>
      </c>
      <c r="H253" s="340" t="s">
        <v>29</v>
      </c>
      <c r="J253" s="31" t="s">
        <v>197</v>
      </c>
      <c r="K253" s="209" t="s">
        <v>29</v>
      </c>
      <c r="L253" s="31" t="s">
        <v>197</v>
      </c>
      <c r="M253" s="394" t="s">
        <v>29</v>
      </c>
    </row>
    <row r="254" spans="3:14" x14ac:dyDescent="0.45">
      <c r="C254" s="970"/>
      <c r="D254" s="21" t="s">
        <v>76</v>
      </c>
      <c r="E254" s="72">
        <f>O78</f>
        <v>1.1005654521681789</v>
      </c>
      <c r="F254" s="355">
        <f>E254/$E$259</f>
        <v>0.30346681387733654</v>
      </c>
      <c r="G254" s="149">
        <f>P78</f>
        <v>1.0032633885863846</v>
      </c>
      <c r="H254" s="396">
        <f>G254/$G$259</f>
        <v>0.29960532318234862</v>
      </c>
      <c r="I254" s="345"/>
      <c r="J254" s="72">
        <f>O78</f>
        <v>1.1005654521681789</v>
      </c>
      <c r="K254" s="355">
        <f>J254/$J$259</f>
        <v>0.22610741221589417</v>
      </c>
      <c r="L254" s="72">
        <f>P78</f>
        <v>1.0032633885863846</v>
      </c>
      <c r="M254" s="396">
        <f>L254/$L$259</f>
        <v>0.27547689342321147</v>
      </c>
    </row>
    <row r="255" spans="3:14" x14ac:dyDescent="0.45">
      <c r="C255" s="970"/>
      <c r="D255" s="48" t="s">
        <v>194</v>
      </c>
      <c r="E255" s="72">
        <f>O91</f>
        <v>0.59079957140964445</v>
      </c>
      <c r="F255" s="356">
        <f>E255/$E$259</f>
        <v>0.16290540759985941</v>
      </c>
      <c r="G255" s="149">
        <f>P91</f>
        <v>0.53645505595801191</v>
      </c>
      <c r="H255" s="396">
        <f>G255/$G$259</f>
        <v>0.16020198907045644</v>
      </c>
      <c r="I255" s="345"/>
      <c r="J255" s="72">
        <f>O97</f>
        <v>1.4498618109558528</v>
      </c>
      <c r="K255" s="356">
        <f>J255/$J$259</f>
        <v>0.29786915580535822</v>
      </c>
      <c r="L255" s="72">
        <f>P97</f>
        <v>0.70449781310432136</v>
      </c>
      <c r="M255" s="396">
        <f>L255/$L$259</f>
        <v>0.19344159388779919</v>
      </c>
    </row>
    <row r="256" spans="3:14" x14ac:dyDescent="0.45">
      <c r="C256" s="970"/>
      <c r="D256" s="48" t="s">
        <v>195</v>
      </c>
      <c r="E256" s="72">
        <f>O137</f>
        <v>0.65985351383943169</v>
      </c>
      <c r="F256" s="356">
        <f>E256/$E$259</f>
        <v>0.18194614693394703</v>
      </c>
      <c r="G256" s="149">
        <f>P137</f>
        <v>0.62065118120318497</v>
      </c>
      <c r="H256" s="396">
        <f>G256/$G$259</f>
        <v>0.1853455431976781</v>
      </c>
      <c r="I256" s="345"/>
      <c r="J256" s="72">
        <f>O137</f>
        <v>0.65985351383943169</v>
      </c>
      <c r="K256" s="356">
        <f>J256/$J$259</f>
        <v>0.13556465011860058</v>
      </c>
      <c r="L256" s="72">
        <f>P137</f>
        <v>0.62065118120318497</v>
      </c>
      <c r="M256" s="396">
        <f>L256/$L$259</f>
        <v>0.17041891615142749</v>
      </c>
    </row>
    <row r="257" spans="3:14" x14ac:dyDescent="0.45">
      <c r="C257" s="970"/>
      <c r="D257" s="34" t="s">
        <v>201</v>
      </c>
      <c r="E257" s="72">
        <f>SUM(O81,O92,O138)</f>
        <v>0.82621966252475931</v>
      </c>
      <c r="F257" s="356">
        <f>E257/$E$259</f>
        <v>0.22781947957319898</v>
      </c>
      <c r="G257" s="149">
        <f>SUM(P81,P92,P138)</f>
        <v>0.75812829919556934</v>
      </c>
      <c r="H257" s="396">
        <f>G257/$G$259</f>
        <v>0.22640044147750274</v>
      </c>
      <c r="I257" s="345"/>
      <c r="J257" s="72">
        <f>SUM(O81,O98,O138)</f>
        <v>1.122054594407794</v>
      </c>
      <c r="K257" s="356">
        <f>J257/$J$259</f>
        <v>0.23052228307429373</v>
      </c>
      <c r="L257" s="72">
        <f>SUM(P81,P98,P138)</f>
        <v>0.86657941497320135</v>
      </c>
      <c r="M257" s="396">
        <f>L257/$L$259</f>
        <v>0.23794609457212007</v>
      </c>
    </row>
    <row r="258" spans="3:14" ht="14.65" thickBot="1" x14ac:dyDescent="0.5">
      <c r="C258" s="970"/>
      <c r="D258" s="48" t="s">
        <v>196</v>
      </c>
      <c r="E258" s="72">
        <f>O149+F150*SUM(E254:E256)</f>
        <v>0.44920366612059659</v>
      </c>
      <c r="F258" s="357">
        <f>E258/$E$259</f>
        <v>0.12386215201565795</v>
      </c>
      <c r="G258" s="149">
        <f>P149+G150*SUM(G254:G256)</f>
        <v>0.43011877495362927</v>
      </c>
      <c r="H258" s="396">
        <f>G258/$G$259</f>
        <v>0.12844670307201403</v>
      </c>
      <c r="I258" s="345"/>
      <c r="J258" s="72">
        <f>O149+F150*SUM(J254:J256)</f>
        <v>0.53510989007521736</v>
      </c>
      <c r="K258" s="356">
        <f>J258/$J$259</f>
        <v>0.10993649878585321</v>
      </c>
      <c r="L258" s="72">
        <f>P149+G150*SUM(L254:L256)</f>
        <v>0.44692305066826021</v>
      </c>
      <c r="M258" s="396">
        <f>L258/$L$259</f>
        <v>0.12271650196544179</v>
      </c>
    </row>
    <row r="259" spans="3:14" ht="14.65" thickBot="1" x14ac:dyDescent="0.5">
      <c r="C259" s="971"/>
      <c r="D259" s="189" t="s">
        <v>10</v>
      </c>
      <c r="E259" s="13">
        <f>SUM(E254:E258)</f>
        <v>3.6266418660626112</v>
      </c>
      <c r="F259" s="357">
        <f>SUM(F254:F258)</f>
        <v>1</v>
      </c>
      <c r="G259" s="397">
        <f>SUM(G254:G258)</f>
        <v>3.3486166998967803</v>
      </c>
      <c r="H259" s="398">
        <f>SUM(H254:H258)</f>
        <v>0.99999999999999978</v>
      </c>
      <c r="I259" s="345"/>
      <c r="J259" s="13">
        <f>SUM(J254:J258)</f>
        <v>4.8674452614464752</v>
      </c>
      <c r="K259" s="399">
        <f>SUM(K254:K258)</f>
        <v>0.99999999999999989</v>
      </c>
      <c r="L259" s="13">
        <f>SUM(L254:L258)</f>
        <v>3.6419148485353525</v>
      </c>
      <c r="M259" s="364">
        <f>SUM(M254:M258)</f>
        <v>1</v>
      </c>
    </row>
    <row r="260" spans="3:14" ht="14.65" thickBot="1" x14ac:dyDescent="0.5">
      <c r="F260" s="1"/>
      <c r="G260" s="17"/>
    </row>
    <row r="261" spans="3:14" ht="14.65" thickBot="1" x14ac:dyDescent="0.5">
      <c r="C261" s="969" t="s">
        <v>51</v>
      </c>
      <c r="D261" s="45"/>
      <c r="E261" s="964" t="s">
        <v>140</v>
      </c>
      <c r="F261" s="966"/>
      <c r="G261" s="966"/>
      <c r="H261" s="965"/>
      <c r="J261" s="964" t="s">
        <v>129</v>
      </c>
      <c r="K261" s="966"/>
      <c r="L261" s="966"/>
      <c r="M261" s="965"/>
    </row>
    <row r="262" spans="3:14" ht="14.65" thickBot="1" x14ac:dyDescent="0.5">
      <c r="C262" s="970"/>
      <c r="D262" s="34"/>
      <c r="E262" s="964">
        <v>2035</v>
      </c>
      <c r="F262" s="965"/>
      <c r="G262" s="964">
        <v>2050</v>
      </c>
      <c r="H262" s="965"/>
      <c r="J262" s="964">
        <v>2035</v>
      </c>
      <c r="K262" s="965"/>
      <c r="L262" s="964">
        <v>2050</v>
      </c>
      <c r="M262" s="965"/>
    </row>
    <row r="263" spans="3:14" ht="14.65" thickBot="1" x14ac:dyDescent="0.5">
      <c r="C263" s="970"/>
      <c r="D263" s="40"/>
      <c r="E263" s="31" t="s">
        <v>197</v>
      </c>
      <c r="F263" s="209" t="s">
        <v>29</v>
      </c>
      <c r="G263" s="31" t="s">
        <v>197</v>
      </c>
      <c r="H263" s="394" t="s">
        <v>29</v>
      </c>
      <c r="J263" s="31" t="s">
        <v>197</v>
      </c>
      <c r="K263" s="209" t="s">
        <v>29</v>
      </c>
      <c r="L263" s="31" t="s">
        <v>197</v>
      </c>
      <c r="M263" s="394" t="s">
        <v>29</v>
      </c>
    </row>
    <row r="264" spans="3:14" x14ac:dyDescent="0.45">
      <c r="C264" s="970"/>
      <c r="D264" s="45" t="s">
        <v>76</v>
      </c>
      <c r="E264" s="72">
        <f>O78</f>
        <v>1.1005654521681789</v>
      </c>
      <c r="F264" s="355">
        <f t="shared" ref="F264:F269" si="59">E264/$E$270</f>
        <v>0.27830564199610436</v>
      </c>
      <c r="G264" s="72">
        <f>P78</f>
        <v>1.0032633885863846</v>
      </c>
      <c r="H264" s="396">
        <f t="shared" ref="H264:H269" si="60">G264/$G$270</f>
        <v>0.29522354427606701</v>
      </c>
      <c r="I264" s="395"/>
      <c r="J264" s="72">
        <f>J254</f>
        <v>1.1005654521681789</v>
      </c>
      <c r="K264" s="356">
        <f t="shared" ref="K264:K269" si="61">J264/$J$270</f>
        <v>0.21178998788867695</v>
      </c>
      <c r="L264" s="72">
        <f>L254</f>
        <v>1.0032633885863846</v>
      </c>
      <c r="M264" s="396">
        <f t="shared" ref="M264:M269" si="62">L264/$L$270</f>
        <v>0.26951920211056829</v>
      </c>
    </row>
    <row r="265" spans="3:14" x14ac:dyDescent="0.45">
      <c r="C265" s="970"/>
      <c r="D265" s="34" t="s">
        <v>194</v>
      </c>
      <c r="E265" s="72">
        <f>O91</f>
        <v>0.59079957140964445</v>
      </c>
      <c r="F265" s="356">
        <f t="shared" si="59"/>
        <v>0.14939852390265537</v>
      </c>
      <c r="G265" s="72">
        <f>P91</f>
        <v>0.53645505595801191</v>
      </c>
      <c r="H265" s="396">
        <f t="shared" si="60"/>
        <v>0.15785900768081654</v>
      </c>
      <c r="I265" s="395"/>
      <c r="J265" s="72">
        <f>J255</f>
        <v>1.4498618109558528</v>
      </c>
      <c r="K265" s="356">
        <f t="shared" si="61"/>
        <v>0.27900768171275658</v>
      </c>
      <c r="L265" s="72">
        <f>L255</f>
        <v>0.70449781310432136</v>
      </c>
      <c r="M265" s="396">
        <f t="shared" si="62"/>
        <v>0.18925806586449354</v>
      </c>
    </row>
    <row r="266" spans="3:14" x14ac:dyDescent="0.45">
      <c r="C266" s="970"/>
      <c r="D266" s="34" t="s">
        <v>103</v>
      </c>
      <c r="E266" s="72">
        <f>O108</f>
        <v>0.65484317875578846</v>
      </c>
      <c r="F266" s="356">
        <f t="shared" si="59"/>
        <v>0.16559356002985826</v>
      </c>
      <c r="G266" s="72">
        <f>P108</f>
        <v>0.4365621191705254</v>
      </c>
      <c r="H266" s="396">
        <f t="shared" si="60"/>
        <v>0.12846418755476782</v>
      </c>
      <c r="I266" s="395"/>
      <c r="J266" s="72">
        <f>O108</f>
        <v>0.65484317875578846</v>
      </c>
      <c r="K266" s="356">
        <f t="shared" si="61"/>
        <v>0.12601633880515253</v>
      </c>
      <c r="L266" s="72">
        <f>P108</f>
        <v>0.4365621191705254</v>
      </c>
      <c r="M266" s="396">
        <f t="shared" si="62"/>
        <v>0.11727914660209662</v>
      </c>
    </row>
    <row r="267" spans="3:14" x14ac:dyDescent="0.45">
      <c r="C267" s="970"/>
      <c r="D267" s="34" t="s">
        <v>198</v>
      </c>
      <c r="E267" s="72">
        <f>O119+O146</f>
        <v>0.19307839485554645</v>
      </c>
      <c r="F267" s="356">
        <f t="shared" si="59"/>
        <v>4.8824725989707787E-2</v>
      </c>
      <c r="G267" s="72">
        <f>P119+P146</f>
        <v>0.18591543086815282</v>
      </c>
      <c r="H267" s="396">
        <f t="shared" si="60"/>
        <v>5.4708078716840615E-2</v>
      </c>
      <c r="I267" s="395"/>
      <c r="J267" s="72">
        <f>SUM(O119,O146)</f>
        <v>0.19307839485554645</v>
      </c>
      <c r="K267" s="356">
        <f t="shared" si="61"/>
        <v>3.7155510222005944E-2</v>
      </c>
      <c r="L267" s="72">
        <f>SUM(P119,P146)</f>
        <v>0.18591543086815282</v>
      </c>
      <c r="M267" s="396">
        <f t="shared" si="62"/>
        <v>4.9944789332171072E-2</v>
      </c>
    </row>
    <row r="268" spans="3:14" x14ac:dyDescent="0.45">
      <c r="C268" s="970"/>
      <c r="D268" s="34" t="s">
        <v>201</v>
      </c>
      <c r="E268" s="72">
        <f>SUM(O81,O92,O109,O120,O147)</f>
        <v>0.96852770762803142</v>
      </c>
      <c r="F268" s="356">
        <f t="shared" si="59"/>
        <v>0.24491657895621888</v>
      </c>
      <c r="G268" s="72">
        <f>SUM(P81,P92,P109,P120,P147)</f>
        <v>0.85150083955386524</v>
      </c>
      <c r="H268" s="396">
        <f t="shared" si="60"/>
        <v>0.25056540352911894</v>
      </c>
      <c r="I268" s="395"/>
      <c r="J268" s="72">
        <f>SUM(O81,O98,O109,O120,O147)</f>
        <v>1.2643626395110661</v>
      </c>
      <c r="K268" s="356">
        <f t="shared" si="61"/>
        <v>0.24331069777031722</v>
      </c>
      <c r="L268" s="72">
        <f>SUM(P81,P98,P109,P120,P147)</f>
        <v>0.95995195533149724</v>
      </c>
      <c r="M268" s="396">
        <f t="shared" si="62"/>
        <v>0.25788390965803476</v>
      </c>
    </row>
    <row r="269" spans="3:14" ht="14.65" thickBot="1" x14ac:dyDescent="0.5">
      <c r="C269" s="970"/>
      <c r="D269" s="34" t="s">
        <v>196</v>
      </c>
      <c r="E269" s="72">
        <f>K165</f>
        <v>0.44670650286224767</v>
      </c>
      <c r="F269" s="357">
        <f t="shared" si="59"/>
        <v>0.11296096912545533</v>
      </c>
      <c r="G269" s="72">
        <f>L165</f>
        <v>0.38462084085249559</v>
      </c>
      <c r="H269" s="396">
        <f t="shared" si="60"/>
        <v>0.11317977824238909</v>
      </c>
      <c r="I269" s="395"/>
      <c r="J269" s="72">
        <f>K171</f>
        <v>0.53378276382439027</v>
      </c>
      <c r="K269" s="356">
        <f t="shared" si="61"/>
        <v>0.10271978360109092</v>
      </c>
      <c r="L269" s="72">
        <f>L171</f>
        <v>0.43222825503890661</v>
      </c>
      <c r="M269" s="396">
        <f t="shared" si="62"/>
        <v>0.11611488643263572</v>
      </c>
    </row>
    <row r="270" spans="3:14" ht="14.65" thickBot="1" x14ac:dyDescent="0.5">
      <c r="C270" s="971"/>
      <c r="D270" s="32" t="s">
        <v>10</v>
      </c>
      <c r="E270" s="13">
        <f>SUM(E264:E269)</f>
        <v>3.9545208076794376</v>
      </c>
      <c r="F270" s="399">
        <f>SUM(F264:F269)</f>
        <v>1</v>
      </c>
      <c r="G270" s="13">
        <f>SUM(G264:G269)</f>
        <v>3.3983176749894355</v>
      </c>
      <c r="H270" s="364">
        <f>SUM(H264:H269)</f>
        <v>1</v>
      </c>
      <c r="I270" s="395"/>
      <c r="J270" s="13">
        <f>SUM(J264:J269)</f>
        <v>5.1964942400708223</v>
      </c>
      <c r="K270" s="399">
        <f>SUM(K264:K269)</f>
        <v>1.0000000000000002</v>
      </c>
      <c r="L270" s="13">
        <f>SUM(L264:L269)</f>
        <v>3.7224189620997881</v>
      </c>
      <c r="M270" s="364">
        <f>SUM(M264:M269)</f>
        <v>0.99999999999999989</v>
      </c>
    </row>
    <row r="271" spans="3:14" ht="14.65" thickBot="1" x14ac:dyDescent="0.5">
      <c r="F271" s="1"/>
      <c r="G271" s="46"/>
    </row>
    <row r="272" spans="3:14" ht="14.65" thickBot="1" x14ac:dyDescent="0.5">
      <c r="D272" s="60" t="s">
        <v>413</v>
      </c>
      <c r="E272" s="637"/>
      <c r="F272" s="16"/>
      <c r="G272" s="637"/>
      <c r="H272" s="16"/>
      <c r="I272" s="637"/>
      <c r="J272" s="637"/>
      <c r="K272" s="722"/>
      <c r="L272" s="637"/>
      <c r="N272" s="25"/>
    </row>
    <row r="273" spans="2:14" ht="14.65" thickBot="1" x14ac:dyDescent="0.5">
      <c r="E273" s="13" t="s">
        <v>43</v>
      </c>
      <c r="G273" s="16"/>
      <c r="I273" s="25"/>
      <c r="J273" s="637"/>
      <c r="K273" s="722"/>
      <c r="L273" s="16"/>
    </row>
    <row r="274" spans="2:14" x14ac:dyDescent="0.45">
      <c r="B274" s="969" t="s">
        <v>336</v>
      </c>
      <c r="C274" s="972">
        <v>2035</v>
      </c>
      <c r="D274" s="308" t="s">
        <v>185</v>
      </c>
      <c r="E274" s="384" t="s">
        <v>40</v>
      </c>
      <c r="I274" s="25"/>
      <c r="J274" s="637"/>
      <c r="K274" s="25"/>
      <c r="L274" s="16"/>
    </row>
    <row r="275" spans="2:14" x14ac:dyDescent="0.45">
      <c r="B275" s="970"/>
      <c r="C275" s="973"/>
      <c r="D275" s="309" t="s">
        <v>183</v>
      </c>
      <c r="E275" s="196" t="s">
        <v>49</v>
      </c>
      <c r="J275" s="16"/>
      <c r="L275" s="16"/>
    </row>
    <row r="276" spans="2:14" ht="14.65" thickBot="1" x14ac:dyDescent="0.5">
      <c r="B276" s="970"/>
      <c r="C276" s="974"/>
      <c r="D276" s="310" t="s">
        <v>184</v>
      </c>
      <c r="E276" s="133" t="s">
        <v>49</v>
      </c>
      <c r="F276" s="925"/>
      <c r="G276" s="925"/>
      <c r="H276" s="922"/>
      <c r="I276" s="1"/>
      <c r="J276" s="1"/>
      <c r="K276" s="1"/>
    </row>
    <row r="277" spans="2:14" ht="14.65" thickBot="1" x14ac:dyDescent="0.5">
      <c r="B277" s="970"/>
      <c r="C277" s="371"/>
      <c r="D277" s="1"/>
      <c r="E277" s="788"/>
      <c r="F277" s="922"/>
      <c r="G277" s="922"/>
      <c r="H277" s="922"/>
      <c r="I277" s="1"/>
      <c r="J277" s="1"/>
      <c r="K277" s="1"/>
    </row>
    <row r="278" spans="2:14" x14ac:dyDescent="0.45">
      <c r="B278" s="970"/>
      <c r="C278" s="972">
        <v>2050</v>
      </c>
      <c r="D278" s="367" t="s">
        <v>185</v>
      </c>
      <c r="E278" s="384" t="s">
        <v>40</v>
      </c>
      <c r="F278" s="922"/>
      <c r="G278" s="922"/>
      <c r="H278" s="922"/>
      <c r="I278" s="1"/>
      <c r="J278" s="1"/>
      <c r="K278" s="1"/>
    </row>
    <row r="279" spans="2:14" x14ac:dyDescent="0.45">
      <c r="B279" s="970"/>
      <c r="C279" s="973"/>
      <c r="D279" s="368" t="s">
        <v>183</v>
      </c>
      <c r="E279" s="196" t="s">
        <v>49</v>
      </c>
      <c r="F279" s="925"/>
      <c r="G279" s="925"/>
      <c r="H279" s="925"/>
      <c r="I279" s="1"/>
      <c r="J279" s="1"/>
      <c r="K279" s="1"/>
      <c r="L279" s="25"/>
      <c r="M279" s="25"/>
      <c r="N279" s="25"/>
    </row>
    <row r="280" spans="2:14" ht="14.65" thickBot="1" x14ac:dyDescent="0.5">
      <c r="B280" s="971"/>
      <c r="C280" s="974"/>
      <c r="D280" s="369" t="s">
        <v>184</v>
      </c>
      <c r="E280" s="133" t="s">
        <v>49</v>
      </c>
      <c r="F280" s="925"/>
      <c r="G280" s="925"/>
      <c r="H280" s="925"/>
      <c r="I280" s="1"/>
      <c r="J280" s="1"/>
      <c r="K280" s="1"/>
      <c r="L280" s="25"/>
      <c r="M280" s="25"/>
      <c r="N280" s="25"/>
    </row>
    <row r="281" spans="2:14" ht="14.65" thickBot="1" x14ac:dyDescent="0.5">
      <c r="C281" s="376"/>
      <c r="D281" s="280"/>
      <c r="E281" s="98"/>
      <c r="F281" s="3"/>
      <c r="G281" s="3"/>
      <c r="H281" s="3"/>
      <c r="I281" s="1"/>
      <c r="J281" s="1"/>
      <c r="K281" s="1"/>
      <c r="L281" s="25"/>
      <c r="M281" s="25"/>
      <c r="N281" s="25"/>
    </row>
    <row r="282" spans="2:14" x14ac:dyDescent="0.45">
      <c r="B282" s="969" t="s">
        <v>129</v>
      </c>
      <c r="C282" s="972">
        <v>2035</v>
      </c>
      <c r="D282" s="308" t="s">
        <v>185</v>
      </c>
      <c r="E282" s="384" t="s">
        <v>40</v>
      </c>
      <c r="F282" s="3"/>
      <c r="G282" s="3"/>
      <c r="H282" s="3"/>
      <c r="I282" s="1"/>
      <c r="J282" s="1"/>
      <c r="K282" s="1"/>
      <c r="L282" s="25"/>
      <c r="M282" s="25"/>
      <c r="N282" s="25"/>
    </row>
    <row r="283" spans="2:14" x14ac:dyDescent="0.45">
      <c r="B283" s="970"/>
      <c r="C283" s="973"/>
      <c r="D283" s="309" t="s">
        <v>183</v>
      </c>
      <c r="E283" s="196" t="s">
        <v>49</v>
      </c>
      <c r="F283" s="3"/>
      <c r="G283" s="3"/>
      <c r="H283" s="3"/>
      <c r="I283" s="1"/>
      <c r="J283" s="1"/>
      <c r="K283" s="1"/>
      <c r="L283" s="25"/>
      <c r="M283" s="25"/>
      <c r="N283" s="25"/>
    </row>
    <row r="284" spans="2:14" ht="14.65" thickBot="1" x14ac:dyDescent="0.5">
      <c r="B284" s="970"/>
      <c r="C284" s="974"/>
      <c r="D284" s="310" t="s">
        <v>184</v>
      </c>
      <c r="E284" s="133" t="s">
        <v>49</v>
      </c>
      <c r="I284" s="25"/>
      <c r="J284" s="25"/>
      <c r="K284" s="25"/>
      <c r="L284" s="25"/>
      <c r="M284" s="25"/>
      <c r="N284" s="25"/>
    </row>
    <row r="285" spans="2:14" ht="14.65" thickBot="1" x14ac:dyDescent="0.5">
      <c r="B285" s="970"/>
      <c r="C285" s="371"/>
      <c r="D285" s="1"/>
      <c r="E285" s="788"/>
      <c r="F285" s="1"/>
      <c r="G285" s="1"/>
      <c r="H285" s="1"/>
      <c r="I285" s="1"/>
      <c r="J285" s="1"/>
      <c r="K285" s="25"/>
      <c r="L285" s="25"/>
      <c r="M285" s="25"/>
      <c r="N285" s="25"/>
    </row>
    <row r="286" spans="2:14" x14ac:dyDescent="0.45">
      <c r="B286" s="970"/>
      <c r="C286" s="969">
        <v>2050</v>
      </c>
      <c r="D286" s="367" t="s">
        <v>185</v>
      </c>
      <c r="E286" s="384" t="s">
        <v>40</v>
      </c>
      <c r="F286" s="1"/>
      <c r="G286" s="1"/>
      <c r="H286" s="1"/>
      <c r="I286" s="1"/>
      <c r="J286" s="1"/>
      <c r="K286" s="25"/>
      <c r="L286" s="25"/>
      <c r="M286" s="25"/>
      <c r="N286" s="25"/>
    </row>
    <row r="287" spans="2:14" x14ac:dyDescent="0.45">
      <c r="B287" s="970"/>
      <c r="C287" s="970"/>
      <c r="D287" s="368" t="s">
        <v>183</v>
      </c>
      <c r="E287" s="196" t="s">
        <v>49</v>
      </c>
      <c r="F287" s="1"/>
      <c r="G287" s="1"/>
      <c r="H287" s="1"/>
      <c r="I287" s="1"/>
      <c r="J287" s="1"/>
      <c r="K287" s="25"/>
      <c r="L287" s="25"/>
      <c r="M287" s="25"/>
      <c r="N287" s="25"/>
    </row>
    <row r="288" spans="2:14" ht="14.65" thickBot="1" x14ac:dyDescent="0.5">
      <c r="B288" s="971"/>
      <c r="C288" s="971"/>
      <c r="D288" s="369" t="s">
        <v>184</v>
      </c>
      <c r="E288" s="133" t="s">
        <v>49</v>
      </c>
      <c r="F288" s="1"/>
      <c r="G288" s="1"/>
      <c r="H288" s="1"/>
      <c r="I288" s="1"/>
      <c r="J288" s="1"/>
      <c r="K288" s="25"/>
      <c r="L288" s="25"/>
      <c r="M288" s="25"/>
      <c r="N288" s="25"/>
    </row>
    <row r="289" spans="2:14" ht="14.65" thickBot="1" x14ac:dyDescent="0.5">
      <c r="B289" s="25"/>
      <c r="C289" s="25"/>
      <c r="D289" s="1"/>
      <c r="E289" s="636"/>
      <c r="F289" s="1"/>
      <c r="G289" s="1"/>
      <c r="H289" s="1"/>
      <c r="I289" s="1"/>
      <c r="J289" s="1"/>
      <c r="K289" s="25"/>
      <c r="L289" s="25"/>
      <c r="M289" s="25"/>
      <c r="N289" s="25"/>
    </row>
    <row r="290" spans="2:14" ht="14.65" thickBot="1" x14ac:dyDescent="0.5">
      <c r="D290" s="60" t="s">
        <v>414</v>
      </c>
      <c r="E290" s="637"/>
      <c r="M290" s="25"/>
      <c r="N290" s="25"/>
    </row>
    <row r="291" spans="2:14" ht="14.65" thickBot="1" x14ac:dyDescent="0.5">
      <c r="E291" s="13" t="s">
        <v>30</v>
      </c>
      <c r="M291" s="25"/>
      <c r="N291" s="25"/>
    </row>
    <row r="292" spans="2:14" ht="15" customHeight="1" x14ac:dyDescent="0.45">
      <c r="B292" s="969" t="s">
        <v>336</v>
      </c>
      <c r="C292" s="972">
        <v>2035</v>
      </c>
      <c r="D292" s="308" t="s">
        <v>185</v>
      </c>
      <c r="E292" s="384" t="s">
        <v>40</v>
      </c>
      <c r="M292" s="25"/>
      <c r="N292" s="25"/>
    </row>
    <row r="293" spans="2:14" x14ac:dyDescent="0.45">
      <c r="B293" s="970"/>
      <c r="C293" s="973"/>
      <c r="D293" s="309" t="s">
        <v>183</v>
      </c>
      <c r="E293" s="196" t="s">
        <v>49</v>
      </c>
      <c r="M293" s="25"/>
      <c r="N293" s="25"/>
    </row>
    <row r="294" spans="2:14" ht="14.65" thickBot="1" x14ac:dyDescent="0.5">
      <c r="B294" s="970"/>
      <c r="C294" s="974"/>
      <c r="D294" s="310" t="s">
        <v>184</v>
      </c>
      <c r="E294" s="133" t="s">
        <v>49</v>
      </c>
      <c r="M294" s="25"/>
      <c r="N294" s="25"/>
    </row>
    <row r="295" spans="2:14" ht="14.65" thickBot="1" x14ac:dyDescent="0.5">
      <c r="B295" s="970"/>
      <c r="C295" s="371"/>
      <c r="D295" s="1"/>
      <c r="E295" s="788"/>
      <c r="M295" s="25"/>
      <c r="N295" s="25"/>
    </row>
    <row r="296" spans="2:14" ht="15" customHeight="1" x14ac:dyDescent="0.45">
      <c r="B296" s="970"/>
      <c r="C296" s="972">
        <v>2050</v>
      </c>
      <c r="D296" s="367" t="s">
        <v>185</v>
      </c>
      <c r="E296" s="384" t="s">
        <v>40</v>
      </c>
      <c r="M296" s="25"/>
      <c r="N296" s="25"/>
    </row>
    <row r="297" spans="2:14" x14ac:dyDescent="0.45">
      <c r="B297" s="970"/>
      <c r="C297" s="973"/>
      <c r="D297" s="368" t="s">
        <v>183</v>
      </c>
      <c r="E297" s="196" t="s">
        <v>49</v>
      </c>
      <c r="M297" s="25"/>
      <c r="N297" s="25"/>
    </row>
    <row r="298" spans="2:14" ht="14.65" thickBot="1" x14ac:dyDescent="0.5">
      <c r="B298" s="971"/>
      <c r="C298" s="974"/>
      <c r="D298" s="369" t="s">
        <v>184</v>
      </c>
      <c r="E298" s="133" t="s">
        <v>49</v>
      </c>
      <c r="M298" s="25"/>
      <c r="N298" s="25"/>
    </row>
    <row r="299" spans="2:14" ht="14.65" thickBot="1" x14ac:dyDescent="0.5">
      <c r="C299" s="376"/>
      <c r="D299" s="280"/>
      <c r="E299" s="98"/>
      <c r="M299" s="25"/>
      <c r="N299" s="25"/>
    </row>
    <row r="300" spans="2:14" ht="15" customHeight="1" x14ac:dyDescent="0.45">
      <c r="B300" s="969" t="s">
        <v>129</v>
      </c>
      <c r="C300" s="972">
        <v>2035</v>
      </c>
      <c r="D300" s="308" t="s">
        <v>185</v>
      </c>
      <c r="E300" s="384" t="s">
        <v>40</v>
      </c>
      <c r="M300" s="25"/>
      <c r="N300" s="25"/>
    </row>
    <row r="301" spans="2:14" x14ac:dyDescent="0.45">
      <c r="B301" s="970"/>
      <c r="C301" s="973"/>
      <c r="D301" s="309" t="s">
        <v>183</v>
      </c>
      <c r="E301" s="196" t="s">
        <v>49</v>
      </c>
      <c r="M301" s="25"/>
      <c r="N301" s="25"/>
    </row>
    <row r="302" spans="2:14" ht="14.65" thickBot="1" x14ac:dyDescent="0.5">
      <c r="B302" s="970"/>
      <c r="C302" s="974"/>
      <c r="D302" s="310" t="s">
        <v>184</v>
      </c>
      <c r="E302" s="133" t="s">
        <v>49</v>
      </c>
      <c r="M302" s="25"/>
      <c r="N302" s="25"/>
    </row>
    <row r="303" spans="2:14" ht="14.65" thickBot="1" x14ac:dyDescent="0.5">
      <c r="B303" s="970"/>
      <c r="C303" s="371"/>
      <c r="D303" s="1"/>
      <c r="E303" s="788"/>
      <c r="M303" s="25"/>
      <c r="N303" s="25"/>
    </row>
    <row r="304" spans="2:14" ht="15" customHeight="1" x14ac:dyDescent="0.45">
      <c r="B304" s="970"/>
      <c r="C304" s="969">
        <v>2050</v>
      </c>
      <c r="D304" s="367" t="s">
        <v>185</v>
      </c>
      <c r="E304" s="384" t="s">
        <v>40</v>
      </c>
      <c r="M304" s="25"/>
      <c r="N304" s="25"/>
    </row>
    <row r="305" spans="2:14" x14ac:dyDescent="0.45">
      <c r="B305" s="970"/>
      <c r="C305" s="970"/>
      <c r="D305" s="368" t="s">
        <v>183</v>
      </c>
      <c r="E305" s="196" t="s">
        <v>49</v>
      </c>
      <c r="M305" s="25"/>
      <c r="N305" s="25"/>
    </row>
    <row r="306" spans="2:14" ht="14.65" thickBot="1" x14ac:dyDescent="0.5">
      <c r="B306" s="971"/>
      <c r="C306" s="971"/>
      <c r="D306" s="369" t="s">
        <v>184</v>
      </c>
      <c r="E306" s="133" t="s">
        <v>49</v>
      </c>
      <c r="M306" s="25"/>
      <c r="N306" s="25"/>
    </row>
    <row r="307" spans="2:14" x14ac:dyDescent="0.45">
      <c r="B307" s="25"/>
      <c r="C307" s="25"/>
      <c r="M307" s="25"/>
      <c r="N307" s="25"/>
    </row>
    <row r="308" spans="2:14" x14ac:dyDescent="0.45">
      <c r="B308" s="25"/>
      <c r="C308" s="25"/>
      <c r="M308" s="25"/>
      <c r="N308" s="25"/>
    </row>
    <row r="309" spans="2:14" x14ac:dyDescent="0.45">
      <c r="B309" s="25"/>
      <c r="C309" s="25"/>
      <c r="M309" s="25"/>
      <c r="N309" s="25"/>
    </row>
    <row r="310" spans="2:14" x14ac:dyDescent="0.45">
      <c r="B310" s="25"/>
      <c r="C310" s="25"/>
      <c r="M310" s="25"/>
      <c r="N310" s="25"/>
    </row>
    <row r="311" spans="2:14" x14ac:dyDescent="0.45">
      <c r="B311" s="25"/>
      <c r="C311" s="25"/>
      <c r="M311" s="25"/>
      <c r="N311" s="25"/>
    </row>
    <row r="312" spans="2:14" x14ac:dyDescent="0.45">
      <c r="B312" s="25"/>
      <c r="C312" s="25"/>
      <c r="M312" s="25"/>
      <c r="N312" s="25"/>
    </row>
    <row r="313" spans="2:14" x14ac:dyDescent="0.45">
      <c r="B313" s="25"/>
      <c r="C313" s="25"/>
      <c r="M313" s="25"/>
      <c r="N313" s="25"/>
    </row>
    <row r="314" spans="2:14" x14ac:dyDescent="0.45">
      <c r="B314" s="25"/>
      <c r="C314" s="25"/>
      <c r="D314" s="1"/>
      <c r="E314" s="1"/>
      <c r="F314" s="1"/>
      <c r="G314" s="1"/>
      <c r="H314" s="1"/>
      <c r="M314" s="25"/>
      <c r="N314" s="25"/>
    </row>
    <row r="315" spans="2:14" x14ac:dyDescent="0.45">
      <c r="B315" s="25"/>
      <c r="C315" s="25"/>
      <c r="D315" s="1"/>
      <c r="E315" s="1"/>
      <c r="F315" s="1"/>
      <c r="G315" s="1"/>
      <c r="H315" s="1"/>
      <c r="M315" s="25"/>
      <c r="N315" s="25"/>
    </row>
    <row r="316" spans="2:14" x14ac:dyDescent="0.45">
      <c r="B316" s="25"/>
      <c r="C316" s="25"/>
      <c r="D316" s="1"/>
      <c r="E316" s="1"/>
      <c r="F316" s="1"/>
      <c r="G316" s="1"/>
      <c r="H316" s="1"/>
      <c r="M316" s="25"/>
      <c r="N316" s="25"/>
    </row>
    <row r="317" spans="2:14" x14ac:dyDescent="0.45">
      <c r="B317" s="25"/>
      <c r="C317" s="25"/>
      <c r="D317" s="1"/>
      <c r="E317" s="1"/>
      <c r="F317" s="1"/>
      <c r="G317" s="1"/>
      <c r="H317" s="1"/>
      <c r="M317" s="25"/>
      <c r="N317" s="25"/>
    </row>
    <row r="318" spans="2:14" x14ac:dyDescent="0.45">
      <c r="B318" s="25"/>
      <c r="C318" s="25"/>
      <c r="D318" s="1"/>
      <c r="E318" s="1"/>
      <c r="F318" s="1"/>
      <c r="G318" s="1"/>
      <c r="H318" s="1"/>
      <c r="M318" s="25"/>
      <c r="N318" s="25"/>
    </row>
    <row r="319" spans="2:14" x14ac:dyDescent="0.45">
      <c r="B319" s="25"/>
      <c r="C319" s="25"/>
      <c r="D319" s="1"/>
      <c r="E319" s="1"/>
      <c r="F319" s="1"/>
      <c r="G319" s="1"/>
      <c r="H319" s="1"/>
      <c r="M319" s="25"/>
      <c r="N319" s="25"/>
    </row>
    <row r="320" spans="2:14" x14ac:dyDescent="0.45">
      <c r="B320" s="25"/>
      <c r="C320" s="25"/>
      <c r="D320" s="1"/>
      <c r="E320" s="1"/>
      <c r="F320" s="1"/>
      <c r="G320" s="1"/>
      <c r="H320" s="1"/>
      <c r="M320" s="25"/>
      <c r="N320" s="25"/>
    </row>
    <row r="321" spans="2:21" x14ac:dyDescent="0.45">
      <c r="B321" s="25"/>
      <c r="C321" s="25"/>
      <c r="D321" s="1"/>
      <c r="E321" s="1"/>
      <c r="F321" s="1"/>
      <c r="G321" s="1"/>
      <c r="H321" s="1"/>
      <c r="M321" s="25"/>
      <c r="N321" s="25"/>
    </row>
    <row r="322" spans="2:21" x14ac:dyDescent="0.45">
      <c r="B322" s="25"/>
      <c r="C322" s="25"/>
      <c r="D322" s="1"/>
      <c r="E322" s="560"/>
      <c r="F322" s="560"/>
      <c r="G322" s="560"/>
      <c r="H322" s="560"/>
      <c r="I322" s="25"/>
      <c r="J322" s="25"/>
      <c r="K322" s="25"/>
      <c r="L322" s="25"/>
      <c r="M322" s="25"/>
      <c r="N322" s="25"/>
    </row>
    <row r="323" spans="2:21" x14ac:dyDescent="0.45">
      <c r="B323" s="25"/>
      <c r="C323" s="25"/>
      <c r="D323" s="1"/>
      <c r="E323" s="560"/>
      <c r="F323" s="560"/>
      <c r="G323" s="560"/>
      <c r="H323" s="560"/>
      <c r="I323" s="25"/>
      <c r="J323" s="25"/>
      <c r="K323" s="25"/>
      <c r="L323" s="25"/>
      <c r="M323" s="25"/>
      <c r="N323" s="25"/>
    </row>
    <row r="324" spans="2:21" x14ac:dyDescent="0.45">
      <c r="B324" s="25"/>
      <c r="C324" s="25"/>
      <c r="D324" s="1"/>
      <c r="E324" s="560"/>
      <c r="F324" s="560"/>
      <c r="G324" s="560"/>
      <c r="H324" s="560"/>
      <c r="I324" s="25"/>
      <c r="J324" s="25"/>
      <c r="K324" s="25"/>
      <c r="L324" s="25"/>
      <c r="M324" s="25"/>
      <c r="N324" s="25"/>
    </row>
    <row r="325" spans="2:21" x14ac:dyDescent="0.45">
      <c r="B325" s="25"/>
      <c r="C325" s="25"/>
      <c r="D325" s="1"/>
      <c r="E325" s="560"/>
      <c r="F325" s="560"/>
      <c r="G325" s="560"/>
      <c r="H325" s="560"/>
      <c r="I325" s="25"/>
      <c r="J325" s="25"/>
      <c r="K325" s="25"/>
      <c r="L325" s="25"/>
      <c r="M325" s="25"/>
      <c r="N325" s="25"/>
    </row>
    <row r="326" spans="2:21" x14ac:dyDescent="0.45">
      <c r="B326" s="25"/>
      <c r="C326" s="25"/>
      <c r="D326" s="1"/>
      <c r="E326" s="560"/>
      <c r="F326" s="560"/>
      <c r="G326" s="560"/>
      <c r="H326" s="560"/>
      <c r="I326" s="25"/>
      <c r="J326" s="25"/>
      <c r="K326" s="25"/>
      <c r="L326" s="25"/>
      <c r="M326" s="25"/>
      <c r="N326" s="25"/>
    </row>
    <row r="327" spans="2:21" x14ac:dyDescent="0.45">
      <c r="B327" s="25"/>
      <c r="C327" s="25"/>
      <c r="D327" s="1"/>
      <c r="E327" s="560"/>
      <c r="F327" s="560"/>
      <c r="G327" s="560"/>
      <c r="H327" s="560"/>
      <c r="I327" s="25"/>
      <c r="J327" s="25"/>
      <c r="K327" s="25"/>
      <c r="L327" s="25"/>
      <c r="M327" s="25"/>
      <c r="N327" s="25"/>
    </row>
    <row r="328" spans="2:21" x14ac:dyDescent="0.45">
      <c r="B328" s="25"/>
      <c r="C328" s="25"/>
      <c r="D328" s="1"/>
      <c r="E328" s="1"/>
      <c r="F328" s="1"/>
      <c r="G328" s="1"/>
      <c r="H328" s="1"/>
      <c r="I328" s="25"/>
      <c r="J328" s="25"/>
      <c r="K328" s="25"/>
      <c r="L328" s="25"/>
      <c r="M328" s="25"/>
      <c r="N328" s="25"/>
    </row>
    <row r="329" spans="2:21" x14ac:dyDescent="0.45">
      <c r="D329" s="1"/>
      <c r="E329" s="1"/>
      <c r="F329" s="1"/>
      <c r="G329" s="1"/>
      <c r="H329" s="1"/>
      <c r="I329" s="25"/>
      <c r="J329" s="25"/>
      <c r="K329" s="25"/>
      <c r="L329" s="25"/>
      <c r="M329" s="25"/>
      <c r="N329" s="25"/>
      <c r="O329" s="25"/>
      <c r="P329" s="25"/>
      <c r="Q329" s="25"/>
      <c r="R329" s="25"/>
      <c r="S329" s="25"/>
      <c r="T329" s="25"/>
      <c r="U329" s="25"/>
    </row>
    <row r="330" spans="2:21" x14ac:dyDescent="0.45">
      <c r="D330" s="4"/>
      <c r="E330" s="1"/>
      <c r="F330" s="1"/>
      <c r="G330" s="1"/>
      <c r="H330" s="1"/>
      <c r="I330" s="25"/>
      <c r="J330" s="25"/>
      <c r="K330" s="25"/>
      <c r="L330" s="25"/>
      <c r="M330" s="25"/>
      <c r="N330" s="25"/>
      <c r="O330" s="25"/>
      <c r="P330" s="25"/>
      <c r="Q330" s="25"/>
      <c r="R330" s="25"/>
      <c r="S330" s="25"/>
      <c r="T330" s="25"/>
      <c r="U330" s="25"/>
    </row>
    <row r="331" spans="2:21" x14ac:dyDescent="0.45">
      <c r="D331" s="1"/>
      <c r="E331" s="1"/>
      <c r="F331" s="1"/>
      <c r="G331" s="1"/>
      <c r="H331" s="1"/>
      <c r="I331" s="25"/>
      <c r="J331" s="25"/>
      <c r="K331" s="25"/>
      <c r="L331" s="25"/>
      <c r="M331" s="25"/>
      <c r="N331" s="25"/>
      <c r="O331" s="25"/>
      <c r="P331" s="25"/>
      <c r="Q331" s="25"/>
      <c r="R331" s="25"/>
      <c r="S331" s="25"/>
      <c r="T331" s="25"/>
      <c r="U331" s="25"/>
    </row>
    <row r="332" spans="2:21" x14ac:dyDescent="0.45">
      <c r="D332" s="1"/>
      <c r="E332" s="1"/>
      <c r="F332" s="1"/>
      <c r="G332" s="1"/>
      <c r="H332" s="1"/>
      <c r="I332" s="25"/>
      <c r="J332" s="25"/>
      <c r="K332" s="25"/>
      <c r="L332" s="25"/>
      <c r="M332" s="25"/>
      <c r="N332" s="25"/>
      <c r="O332" s="25"/>
      <c r="P332" s="25"/>
      <c r="Q332" s="25"/>
      <c r="R332" s="25"/>
      <c r="S332" s="25"/>
      <c r="T332" s="25"/>
      <c r="U332" s="25"/>
    </row>
    <row r="333" spans="2:21" x14ac:dyDescent="0.45">
      <c r="D333" s="1"/>
      <c r="E333" s="1"/>
      <c r="F333" s="1"/>
      <c r="G333" s="1"/>
      <c r="H333" s="1"/>
      <c r="I333" s="25"/>
      <c r="J333" s="25"/>
      <c r="K333" s="25"/>
      <c r="L333" s="25"/>
      <c r="M333" s="25"/>
      <c r="N333" s="25"/>
      <c r="O333" s="25"/>
      <c r="P333" s="25"/>
      <c r="Q333" s="25"/>
      <c r="R333" s="25"/>
      <c r="S333" s="25"/>
      <c r="T333" s="25"/>
      <c r="U333" s="25"/>
    </row>
    <row r="334" spans="2:21" x14ac:dyDescent="0.45">
      <c r="D334" s="978"/>
      <c r="E334" s="978"/>
      <c r="F334" s="978"/>
      <c r="G334" s="978"/>
      <c r="H334" s="978"/>
      <c r="I334" s="25"/>
      <c r="U334" s="25"/>
    </row>
    <row r="335" spans="2:21" x14ac:dyDescent="0.45">
      <c r="D335" s="111"/>
      <c r="E335" s="1"/>
      <c r="F335" s="1"/>
      <c r="G335" s="1"/>
      <c r="H335" s="1"/>
      <c r="I335" s="206"/>
      <c r="U335" s="25"/>
    </row>
    <row r="336" spans="2:21" x14ac:dyDescent="0.45">
      <c r="D336" s="152"/>
      <c r="E336" s="25"/>
      <c r="F336" s="25"/>
      <c r="G336" s="25"/>
      <c r="H336" s="25"/>
      <c r="I336" s="25"/>
      <c r="U336" s="25"/>
    </row>
    <row r="337" spans="4:21" x14ac:dyDescent="0.45">
      <c r="D337" s="25"/>
      <c r="E337" s="25"/>
      <c r="F337" s="25"/>
      <c r="G337" s="25"/>
      <c r="H337" s="25"/>
      <c r="I337" s="25"/>
      <c r="U337" s="25"/>
    </row>
    <row r="338" spans="4:21" x14ac:dyDescent="0.45">
      <c r="D338" s="25"/>
      <c r="E338" s="25"/>
      <c r="F338" s="25"/>
      <c r="G338" s="25"/>
      <c r="H338" s="25"/>
      <c r="I338" s="25"/>
      <c r="U338" s="25"/>
    </row>
    <row r="339" spans="4:21" x14ac:dyDescent="0.45">
      <c r="D339" s="25"/>
      <c r="E339" s="25"/>
      <c r="F339" s="25"/>
      <c r="G339" s="25"/>
      <c r="H339" s="25"/>
      <c r="I339" s="25"/>
      <c r="U339" s="25"/>
    </row>
    <row r="340" spans="4:21" x14ac:dyDescent="0.45">
      <c r="D340" s="25"/>
      <c r="E340" s="25"/>
      <c r="F340" s="25"/>
      <c r="G340" s="25"/>
      <c r="H340" s="25"/>
      <c r="I340" s="25"/>
      <c r="U340" s="25"/>
    </row>
    <row r="341" spans="4:21" x14ac:dyDescent="0.45">
      <c r="D341" s="25"/>
      <c r="E341" s="25"/>
      <c r="F341" s="25"/>
      <c r="G341" s="25"/>
      <c r="H341" s="25"/>
      <c r="I341" s="25"/>
      <c r="U341" s="25"/>
    </row>
    <row r="342" spans="4:21" x14ac:dyDescent="0.45">
      <c r="D342" s="25"/>
      <c r="E342" s="25"/>
      <c r="F342" s="25"/>
      <c r="G342" s="25"/>
      <c r="H342" s="25"/>
      <c r="I342" s="25"/>
      <c r="U342" s="25"/>
    </row>
    <row r="343" spans="4:21" x14ac:dyDescent="0.45">
      <c r="D343" s="25"/>
      <c r="E343" s="25"/>
      <c r="F343" s="25"/>
      <c r="G343" s="25"/>
      <c r="H343" s="25"/>
      <c r="I343" s="25"/>
      <c r="U343" s="25"/>
    </row>
    <row r="344" spans="4:21" x14ac:dyDescent="0.45">
      <c r="D344" s="25"/>
      <c r="E344" s="25"/>
      <c r="F344" s="25"/>
      <c r="G344" s="25"/>
      <c r="H344" s="25"/>
      <c r="I344" s="25"/>
      <c r="U344" s="25"/>
    </row>
    <row r="345" spans="4:21" x14ac:dyDescent="0.45">
      <c r="D345" s="25"/>
      <c r="E345" s="25"/>
      <c r="F345" s="25"/>
      <c r="G345" s="25"/>
      <c r="H345" s="25"/>
      <c r="I345" s="25"/>
      <c r="U345" s="25"/>
    </row>
    <row r="346" spans="4:21" x14ac:dyDescent="0.45">
      <c r="D346" s="25"/>
      <c r="E346" s="25"/>
      <c r="U346" s="25"/>
    </row>
    <row r="347" spans="4:21" x14ac:dyDescent="0.45">
      <c r="D347" s="25"/>
      <c r="E347" s="25"/>
      <c r="U347" s="25"/>
    </row>
    <row r="348" spans="4:21" x14ac:dyDescent="0.45">
      <c r="D348" s="25"/>
      <c r="E348" s="25"/>
      <c r="U348" s="25"/>
    </row>
    <row r="349" spans="4:21" x14ac:dyDescent="0.45">
      <c r="D349" s="25"/>
      <c r="E349" s="25"/>
      <c r="F349" s="25"/>
      <c r="I349" s="25"/>
      <c r="J349" s="25"/>
      <c r="K349" s="25"/>
      <c r="N349" s="188"/>
      <c r="O349" s="33"/>
      <c r="P349" s="33"/>
      <c r="Q349" s="33"/>
      <c r="R349" s="33"/>
      <c r="S349" s="33"/>
      <c r="U349" s="25"/>
    </row>
    <row r="350" spans="4:21" x14ac:dyDescent="0.45">
      <c r="D350" s="25"/>
      <c r="E350" s="25"/>
      <c r="F350" s="25"/>
      <c r="I350" s="25"/>
      <c r="J350" s="25"/>
      <c r="K350" s="25"/>
      <c r="N350" s="188"/>
      <c r="O350" s="33"/>
      <c r="P350" s="33"/>
      <c r="Q350" s="33"/>
      <c r="R350" s="33"/>
      <c r="S350" s="33"/>
      <c r="U350" s="25"/>
    </row>
    <row r="351" spans="4:21" x14ac:dyDescent="0.45">
      <c r="D351" s="25"/>
      <c r="E351" s="25"/>
      <c r="F351" s="25"/>
      <c r="I351" s="25"/>
      <c r="J351" s="25"/>
      <c r="K351" s="25"/>
      <c r="N351" s="188"/>
      <c r="O351" s="33"/>
      <c r="P351" s="33"/>
      <c r="Q351" s="33"/>
      <c r="R351" s="33"/>
      <c r="S351" s="33"/>
      <c r="U351" s="25"/>
    </row>
    <row r="352" spans="4:21" x14ac:dyDescent="0.45">
      <c r="D352" s="25"/>
      <c r="E352" s="25"/>
      <c r="F352" s="25"/>
      <c r="G352" s="25"/>
      <c r="H352" s="25"/>
      <c r="I352" s="25"/>
      <c r="N352" s="188"/>
      <c r="O352" s="33"/>
      <c r="P352" s="33"/>
      <c r="Q352" s="33"/>
      <c r="R352" s="33"/>
      <c r="S352" s="33"/>
      <c r="U352" s="25"/>
    </row>
    <row r="353" spans="4:21" x14ac:dyDescent="0.45">
      <c r="D353" s="287"/>
      <c r="E353" s="25"/>
      <c r="F353" s="25"/>
      <c r="N353" s="188"/>
      <c r="O353" s="33"/>
      <c r="P353" s="33"/>
      <c r="Q353" s="33"/>
      <c r="R353" s="33"/>
      <c r="S353" s="33"/>
      <c r="U353" s="25"/>
    </row>
    <row r="354" spans="4:21" x14ac:dyDescent="0.45">
      <c r="D354" s="25"/>
      <c r="E354" s="25"/>
      <c r="F354" s="25"/>
      <c r="N354" s="188"/>
      <c r="O354" s="33"/>
      <c r="P354" s="33"/>
      <c r="Q354" s="33"/>
      <c r="R354" s="33"/>
      <c r="S354" s="33"/>
      <c r="U354" s="25"/>
    </row>
    <row r="355" spans="4:21" x14ac:dyDescent="0.45">
      <c r="D355" s="25"/>
      <c r="E355" s="25"/>
      <c r="F355" s="206"/>
      <c r="G355" s="25"/>
      <c r="H355" s="25"/>
      <c r="I355" s="25"/>
      <c r="P355" s="33"/>
      <c r="Q355" s="33"/>
      <c r="R355" s="33"/>
      <c r="S355" s="33"/>
      <c r="U355" s="25"/>
    </row>
    <row r="356" spans="4:21" x14ac:dyDescent="0.45">
      <c r="D356" s="25"/>
      <c r="E356" s="25"/>
      <c r="F356" s="206"/>
      <c r="G356" s="25"/>
      <c r="H356" s="25"/>
      <c r="I356" s="25"/>
      <c r="P356" s="33"/>
      <c r="Q356" s="33"/>
      <c r="R356" s="33"/>
      <c r="S356" s="33"/>
      <c r="U356" s="25"/>
    </row>
    <row r="357" spans="4:21" x14ac:dyDescent="0.45">
      <c r="D357" s="25"/>
      <c r="E357" s="25"/>
      <c r="F357" s="25"/>
      <c r="G357" s="25"/>
      <c r="H357" s="25"/>
      <c r="I357" s="25"/>
      <c r="P357" s="33"/>
      <c r="Q357" s="33"/>
      <c r="R357" s="33"/>
      <c r="S357" s="33"/>
      <c r="U357" s="25"/>
    </row>
    <row r="358" spans="4:21" x14ac:dyDescent="0.45">
      <c r="F358" s="25"/>
      <c r="G358" s="25"/>
      <c r="H358" s="25"/>
      <c r="I358" s="25"/>
      <c r="J358" s="25"/>
      <c r="K358" s="25"/>
      <c r="L358" s="25"/>
      <c r="M358" s="25"/>
      <c r="N358" s="25"/>
      <c r="O358" s="25"/>
      <c r="P358" s="25"/>
      <c r="Q358" s="25"/>
      <c r="R358" s="25"/>
      <c r="S358" s="25"/>
      <c r="T358" s="25"/>
      <c r="U358" s="25"/>
    </row>
    <row r="359" spans="4:21" x14ac:dyDescent="0.45">
      <c r="F359" s="25"/>
      <c r="G359" s="25"/>
      <c r="H359" s="25"/>
      <c r="I359" s="25"/>
      <c r="J359" s="25"/>
      <c r="K359" s="25"/>
      <c r="L359" s="25"/>
      <c r="M359" s="25"/>
      <c r="N359" s="25"/>
      <c r="O359" s="25"/>
      <c r="P359" s="25"/>
      <c r="Q359" s="25"/>
      <c r="R359" s="25"/>
      <c r="S359" s="25"/>
      <c r="T359" s="25"/>
      <c r="U359" s="25"/>
    </row>
    <row r="360" spans="4:21" x14ac:dyDescent="0.45">
      <c r="F360" s="25"/>
      <c r="G360" s="25"/>
      <c r="H360" s="25"/>
      <c r="I360" s="25"/>
      <c r="J360" s="25"/>
      <c r="K360" s="25"/>
      <c r="L360" s="25"/>
      <c r="M360" s="25"/>
      <c r="N360" s="25"/>
      <c r="O360" s="25"/>
      <c r="P360" s="25"/>
      <c r="Q360" s="25"/>
      <c r="R360" s="25"/>
      <c r="S360" s="25"/>
      <c r="T360" s="25"/>
      <c r="U360" s="25"/>
    </row>
    <row r="361" spans="4:21" x14ac:dyDescent="0.45">
      <c r="F361" s="25"/>
      <c r="G361" s="25"/>
      <c r="H361" s="25"/>
      <c r="I361" s="25"/>
      <c r="J361" s="25"/>
      <c r="K361" s="25"/>
      <c r="L361" s="25"/>
      <c r="M361" s="25"/>
      <c r="N361" s="25"/>
      <c r="O361" s="25"/>
      <c r="P361" s="25"/>
      <c r="Q361" s="25"/>
      <c r="R361" s="25"/>
      <c r="S361" s="25"/>
      <c r="T361" s="25"/>
      <c r="U361" s="25"/>
    </row>
    <row r="362" spans="4:21" x14ac:dyDescent="0.45">
      <c r="F362" s="25"/>
      <c r="G362" s="25"/>
      <c r="H362" s="25"/>
      <c r="I362" s="25"/>
      <c r="J362" s="25"/>
      <c r="K362" s="25"/>
      <c r="L362" s="25"/>
      <c r="M362" s="25"/>
      <c r="N362" s="25"/>
      <c r="O362" s="25"/>
      <c r="P362" s="25"/>
      <c r="Q362" s="25"/>
      <c r="R362" s="25"/>
      <c r="S362" s="25"/>
      <c r="T362" s="25"/>
      <c r="U362" s="25"/>
    </row>
  </sheetData>
  <mergeCells count="83">
    <mergeCell ref="B300:B306"/>
    <mergeCell ref="C300:C302"/>
    <mergeCell ref="C304:C306"/>
    <mergeCell ref="C282:C284"/>
    <mergeCell ref="C286:C288"/>
    <mergeCell ref="B274:B280"/>
    <mergeCell ref="B282:B288"/>
    <mergeCell ref="B292:B298"/>
    <mergeCell ref="C292:C294"/>
    <mergeCell ref="C296:C298"/>
    <mergeCell ref="P37:S37"/>
    <mergeCell ref="N38:O38"/>
    <mergeCell ref="R38:S38"/>
    <mergeCell ref="J261:M261"/>
    <mergeCell ref="J262:K262"/>
    <mergeCell ref="J236:K236"/>
    <mergeCell ref="L236:M236"/>
    <mergeCell ref="J235:K235"/>
    <mergeCell ref="L235:M235"/>
    <mergeCell ref="L262:M262"/>
    <mergeCell ref="Y2:AA2"/>
    <mergeCell ref="P2:S2"/>
    <mergeCell ref="O159:P159"/>
    <mergeCell ref="S159:T159"/>
    <mergeCell ref="O158:P158"/>
    <mergeCell ref="N3:O3"/>
    <mergeCell ref="L2:O2"/>
    <mergeCell ref="R3:S3"/>
    <mergeCell ref="V2:X2"/>
    <mergeCell ref="M159:N159"/>
    <mergeCell ref="K71:L71"/>
    <mergeCell ref="O70:P70"/>
    <mergeCell ref="K70:L70"/>
    <mergeCell ref="Q159:R159"/>
    <mergeCell ref="K159:L159"/>
    <mergeCell ref="L37:O37"/>
    <mergeCell ref="D334:H334"/>
    <mergeCell ref="C240:C242"/>
    <mergeCell ref="C244:C246"/>
    <mergeCell ref="F235:G235"/>
    <mergeCell ref="H235:I235"/>
    <mergeCell ref="F236:G236"/>
    <mergeCell ref="H236:I236"/>
    <mergeCell ref="C251:C259"/>
    <mergeCell ref="C261:C270"/>
    <mergeCell ref="E261:H261"/>
    <mergeCell ref="E252:F252"/>
    <mergeCell ref="G252:H252"/>
    <mergeCell ref="E262:F262"/>
    <mergeCell ref="G262:H262"/>
    <mergeCell ref="C274:C276"/>
    <mergeCell ref="C278:C280"/>
    <mergeCell ref="D19:D20"/>
    <mergeCell ref="B218:B224"/>
    <mergeCell ref="B226:B232"/>
    <mergeCell ref="C226:C228"/>
    <mergeCell ref="C230:C232"/>
    <mergeCell ref="C187:C192"/>
    <mergeCell ref="C194:C199"/>
    <mergeCell ref="C161:C165"/>
    <mergeCell ref="C167:C171"/>
    <mergeCell ref="C222:C224"/>
    <mergeCell ref="C218:C220"/>
    <mergeCell ref="B187:B199"/>
    <mergeCell ref="B201:B207"/>
    <mergeCell ref="C201:C203"/>
    <mergeCell ref="C205:C207"/>
    <mergeCell ref="H2:I2"/>
    <mergeCell ref="J252:K252"/>
    <mergeCell ref="L252:M252"/>
    <mergeCell ref="E251:H251"/>
    <mergeCell ref="J251:M251"/>
    <mergeCell ref="F70:G70"/>
    <mergeCell ref="H70:I70"/>
    <mergeCell ref="F2:G2"/>
    <mergeCell ref="E159:F159"/>
    <mergeCell ref="G159:H159"/>
    <mergeCell ref="I158:J158"/>
    <mergeCell ref="K158:L158"/>
    <mergeCell ref="E158:F158"/>
    <mergeCell ref="M158:N158"/>
    <mergeCell ref="G158:H158"/>
    <mergeCell ref="I159:J159"/>
  </mergeCells>
  <pageMargins left="0.7" right="0.7" top="0.75" bottom="0.75" header="0.3" footer="0.3"/>
  <pageSetup paperSize="9" orientation="portrait" r:id="rId1"/>
  <ignoredErrors>
    <ignoredError sqref="H76:I76" evalError="1"/>
    <ignoredError sqref="G127 K264:K265 H19 H23 H25 N21 N24 N27 O79:P79" formula="1"/>
    <ignoredError sqref="F25" formulaRange="1"/>
  </ignoredErrors>
  <legacyDrawing r:id="rId2"/>
</worksheet>
</file>

<file path=xl/worksheets/sheet3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DFF7A9-D1DB-471F-8BA7-5DD19629372B}">
  <sheetPr codeName="Blad4"/>
  <dimension ref="A38:AP191"/>
  <sheetViews>
    <sheetView topLeftCell="A22" zoomScale="95" zoomScaleNormal="95" workbookViewId="0">
      <selection activeCell="W119" sqref="W119"/>
    </sheetView>
  </sheetViews>
  <sheetFormatPr defaultRowHeight="14.25" x14ac:dyDescent="0.45"/>
  <cols>
    <col min="2" max="2" width="24.59765625" customWidth="1"/>
    <col min="3" max="3" width="15" customWidth="1"/>
    <col min="4" max="4" width="12.3984375" customWidth="1"/>
    <col min="5" max="5" width="11.59765625" bestFit="1" customWidth="1"/>
    <col min="12" max="12" width="12.59765625" customWidth="1"/>
    <col min="15" max="16" width="11.73046875" customWidth="1"/>
    <col min="17" max="17" width="10.265625" customWidth="1"/>
    <col min="21" max="21" width="10.3984375" customWidth="1"/>
    <col min="22" max="22" width="10.59765625" customWidth="1"/>
    <col min="23" max="25" width="12.3984375" customWidth="1"/>
    <col min="26" max="26" width="12.1328125" customWidth="1"/>
    <col min="27" max="28" width="12.3984375" customWidth="1"/>
    <col min="31" max="32" width="12.86328125" customWidth="1"/>
    <col min="41" max="41" width="11.265625" customWidth="1"/>
  </cols>
  <sheetData>
    <row r="38" spans="2:6" ht="14.65" thickBot="1" x14ac:dyDescent="0.5"/>
    <row r="39" spans="2:6" ht="14.65" thickBot="1" x14ac:dyDescent="0.5">
      <c r="B39" s="25"/>
      <c r="C39" s="219"/>
      <c r="D39" s="962" t="s">
        <v>8</v>
      </c>
      <c r="E39" s="963"/>
      <c r="F39" s="25"/>
    </row>
    <row r="40" spans="2:6" ht="28.9" thickBot="1" x14ac:dyDescent="0.5">
      <c r="B40" s="134"/>
      <c r="C40" s="135"/>
      <c r="D40" s="316" t="s">
        <v>27</v>
      </c>
      <c r="E40" s="223" t="s">
        <v>96</v>
      </c>
      <c r="F40" s="152"/>
    </row>
    <row r="41" spans="2:6" ht="14.65" thickBot="1" x14ac:dyDescent="0.5">
      <c r="B41" s="136" t="s">
        <v>76</v>
      </c>
      <c r="C41" s="137" t="s">
        <v>74</v>
      </c>
      <c r="D41" s="317">
        <v>766</v>
      </c>
      <c r="E41" s="11">
        <v>657</v>
      </c>
      <c r="F41" s="152" t="s">
        <v>95</v>
      </c>
    </row>
    <row r="42" spans="2:6" ht="14.65" thickBot="1" x14ac:dyDescent="0.5">
      <c r="B42" s="136" t="s">
        <v>77</v>
      </c>
      <c r="C42" s="137" t="s">
        <v>74</v>
      </c>
      <c r="D42" s="317">
        <v>394</v>
      </c>
      <c r="E42" s="365">
        <f>E41/D41*D42</f>
        <v>337.93472584856397</v>
      </c>
      <c r="F42" s="152" t="s">
        <v>98</v>
      </c>
    </row>
    <row r="43" spans="2:6" ht="14.65" thickBot="1" x14ac:dyDescent="0.5">
      <c r="B43" s="136" t="s">
        <v>20</v>
      </c>
      <c r="C43" s="137" t="s">
        <v>74</v>
      </c>
      <c r="D43" s="317">
        <v>58</v>
      </c>
      <c r="E43" s="11">
        <v>58</v>
      </c>
      <c r="F43" s="319"/>
    </row>
    <row r="44" spans="2:6" ht="14.65" thickBot="1" x14ac:dyDescent="0.5">
      <c r="B44" s="136" t="s">
        <v>12</v>
      </c>
      <c r="C44" s="137" t="s">
        <v>74</v>
      </c>
      <c r="D44" s="317">
        <v>325</v>
      </c>
      <c r="E44" s="321">
        <v>325</v>
      </c>
      <c r="F44" s="152"/>
    </row>
    <row r="45" spans="2:6" ht="14.65" thickBot="1" x14ac:dyDescent="0.5">
      <c r="B45" s="136" t="s">
        <v>78</v>
      </c>
      <c r="C45" s="137" t="s">
        <v>74</v>
      </c>
      <c r="D45" s="317">
        <v>116</v>
      </c>
      <c r="E45" s="11">
        <v>116</v>
      </c>
      <c r="F45" s="319"/>
    </row>
    <row r="46" spans="2:6" ht="14.65" thickBot="1" x14ac:dyDescent="0.5">
      <c r="B46" s="136"/>
      <c r="C46" s="137"/>
      <c r="D46" s="317"/>
      <c r="E46" s="11"/>
      <c r="F46" s="152"/>
    </row>
    <row r="47" spans="2:6" ht="14.65" thickBot="1" x14ac:dyDescent="0.5">
      <c r="B47" s="136" t="s">
        <v>79</v>
      </c>
      <c r="C47" s="137" t="s">
        <v>86</v>
      </c>
      <c r="D47" s="317">
        <v>380</v>
      </c>
      <c r="E47" s="11">
        <v>380</v>
      </c>
      <c r="F47" s="152"/>
    </row>
    <row r="48" spans="2:6" ht="14.65" thickBot="1" x14ac:dyDescent="0.5">
      <c r="B48" s="136" t="s">
        <v>87</v>
      </c>
      <c r="C48" s="137" t="s">
        <v>86</v>
      </c>
      <c r="D48" s="317">
        <v>1470</v>
      </c>
      <c r="E48" s="11">
        <v>1470</v>
      </c>
      <c r="F48" s="152"/>
    </row>
    <row r="49" spans="2:31" ht="14.65" thickBot="1" x14ac:dyDescent="0.5">
      <c r="B49" s="136" t="s">
        <v>88</v>
      </c>
      <c r="C49" s="137" t="s">
        <v>86</v>
      </c>
      <c r="D49" s="317">
        <v>2510</v>
      </c>
      <c r="E49" s="11">
        <v>2510</v>
      </c>
      <c r="F49" s="152"/>
    </row>
    <row r="50" spans="2:31" ht="14.65" thickBot="1" x14ac:dyDescent="0.5">
      <c r="B50" s="136" t="s">
        <v>17</v>
      </c>
      <c r="C50" s="137" t="s">
        <v>74</v>
      </c>
      <c r="D50" s="317">
        <v>145</v>
      </c>
      <c r="E50" s="11">
        <v>145</v>
      </c>
      <c r="F50" s="152"/>
    </row>
    <row r="51" spans="2:31" ht="28.9" thickBot="1" x14ac:dyDescent="0.5">
      <c r="B51" s="202" t="s">
        <v>19</v>
      </c>
      <c r="C51" s="137" t="s">
        <v>74</v>
      </c>
      <c r="D51" s="204">
        <v>40.6</v>
      </c>
      <c r="E51" s="205">
        <v>40.6</v>
      </c>
      <c r="F51" s="33"/>
    </row>
    <row r="52" spans="2:31" ht="14.65" thickBot="1" x14ac:dyDescent="0.5">
      <c r="B52" s="202" t="s">
        <v>18</v>
      </c>
      <c r="C52" s="135" t="s">
        <v>74</v>
      </c>
      <c r="D52" s="204">
        <v>34.799999999999997</v>
      </c>
      <c r="E52" s="205">
        <v>34.799999999999997</v>
      </c>
      <c r="F52" s="33"/>
    </row>
    <row r="53" spans="2:31" ht="28.9" thickBot="1" x14ac:dyDescent="0.5">
      <c r="B53" s="202" t="s">
        <v>91</v>
      </c>
      <c r="C53" s="135" t="s">
        <v>74</v>
      </c>
      <c r="D53" s="218">
        <v>34.799999999999997</v>
      </c>
      <c r="E53" s="205">
        <v>34.799999999999997</v>
      </c>
      <c r="F53" s="152"/>
    </row>
    <row r="54" spans="2:31" ht="14.65" thickBot="1" x14ac:dyDescent="0.5">
      <c r="E54" s="34"/>
      <c r="F54" s="33"/>
    </row>
    <row r="55" spans="2:31" ht="28.9" thickBot="1" x14ac:dyDescent="0.5">
      <c r="B55" s="203" t="s">
        <v>92</v>
      </c>
      <c r="C55" s="134" t="s">
        <v>74</v>
      </c>
      <c r="D55" s="204">
        <v>139</v>
      </c>
      <c r="E55" s="205">
        <v>139</v>
      </c>
      <c r="F55" s="33"/>
    </row>
    <row r="56" spans="2:31" ht="14.65" thickBot="1" x14ac:dyDescent="0.5">
      <c r="B56" s="203" t="s">
        <v>52</v>
      </c>
      <c r="C56" s="134" t="s">
        <v>74</v>
      </c>
      <c r="D56" s="289">
        <v>250</v>
      </c>
      <c r="E56" s="205">
        <v>250</v>
      </c>
      <c r="F56" s="33"/>
    </row>
    <row r="57" spans="2:31" ht="14.65" thickBot="1" x14ac:dyDescent="0.5">
      <c r="E57" s="34"/>
      <c r="F57" s="33"/>
    </row>
    <row r="58" spans="2:31" ht="14.65" thickBot="1" x14ac:dyDescent="0.5">
      <c r="B58" s="134" t="s">
        <v>71</v>
      </c>
      <c r="C58" s="135" t="s">
        <v>75</v>
      </c>
      <c r="D58" s="320">
        <v>87</v>
      </c>
      <c r="E58" s="205">
        <v>57</v>
      </c>
      <c r="F58" s="152" t="s">
        <v>178</v>
      </c>
    </row>
    <row r="59" spans="2:31" ht="14.65" thickBot="1" x14ac:dyDescent="0.5">
      <c r="B59" s="136" t="s">
        <v>21</v>
      </c>
      <c r="C59" s="137" t="s">
        <v>22</v>
      </c>
      <c r="D59" s="317">
        <v>27</v>
      </c>
      <c r="E59" s="11">
        <v>27</v>
      </c>
      <c r="F59" s="152" t="s">
        <v>180</v>
      </c>
    </row>
    <row r="60" spans="2:31" ht="14.65" thickBot="1" x14ac:dyDescent="0.5">
      <c r="B60" s="136" t="s">
        <v>23</v>
      </c>
      <c r="C60" s="137" t="s">
        <v>29</v>
      </c>
      <c r="D60" s="318">
        <v>0.06</v>
      </c>
      <c r="E60" s="322">
        <v>0.06</v>
      </c>
      <c r="F60" s="152" t="s">
        <v>80</v>
      </c>
    </row>
    <row r="61" spans="2:31" ht="28.9" thickBot="1" x14ac:dyDescent="0.5">
      <c r="B61" s="136" t="s">
        <v>65</v>
      </c>
      <c r="C61" s="137" t="s">
        <v>29</v>
      </c>
      <c r="D61" s="318">
        <v>0.51</v>
      </c>
      <c r="E61" s="322" t="s">
        <v>97</v>
      </c>
      <c r="F61" s="152" t="s">
        <v>179</v>
      </c>
    </row>
    <row r="62" spans="2:31" ht="15.75" customHeight="1" thickBot="1" x14ac:dyDescent="0.5">
      <c r="Q62" s="17"/>
      <c r="AD62" s="25"/>
      <c r="AE62" s="25"/>
    </row>
    <row r="63" spans="2:31" ht="15.75" customHeight="1" thickBot="1" x14ac:dyDescent="0.5">
      <c r="B63" s="323" t="s">
        <v>164</v>
      </c>
      <c r="Q63" s="17"/>
    </row>
    <row r="64" spans="2:31" ht="14.65" thickBot="1" x14ac:dyDescent="0.5"/>
    <row r="65" spans="2:42" ht="43.15" thickBot="1" x14ac:dyDescent="0.5">
      <c r="B65" s="99"/>
      <c r="C65" s="346" t="s">
        <v>81</v>
      </c>
      <c r="D65" s="347"/>
      <c r="E65" s="347"/>
      <c r="F65" s="347"/>
      <c r="G65" s="347"/>
      <c r="H65" s="347"/>
      <c r="I65" s="348"/>
      <c r="J65" s="358" t="s">
        <v>25</v>
      </c>
      <c r="K65" s="990" t="s">
        <v>28</v>
      </c>
      <c r="L65" s="991"/>
      <c r="M65" s="991"/>
      <c r="N65" s="991"/>
      <c r="O65" s="991"/>
      <c r="P65" s="992"/>
      <c r="Q65" s="200" t="s">
        <v>83</v>
      </c>
      <c r="R65" s="990" t="s">
        <v>14</v>
      </c>
      <c r="S65" s="991"/>
      <c r="T65" s="991"/>
      <c r="U65" s="991"/>
      <c r="V65" s="992"/>
      <c r="W65" s="990" t="s">
        <v>26</v>
      </c>
      <c r="X65" s="991"/>
      <c r="Y65" s="992"/>
      <c r="Z65" s="990" t="s">
        <v>42</v>
      </c>
      <c r="AA65" s="992"/>
      <c r="AB65" s="201" t="s">
        <v>85</v>
      </c>
      <c r="AC65" s="201" t="s">
        <v>13</v>
      </c>
      <c r="AD65" s="200" t="s">
        <v>171</v>
      </c>
      <c r="AE65" s="200" t="s">
        <v>210</v>
      </c>
      <c r="AF65" s="99"/>
      <c r="AG65" s="99"/>
      <c r="AH65" s="99"/>
      <c r="AI65" s="99"/>
      <c r="AJ65" s="99"/>
      <c r="AK65" s="99"/>
      <c r="AL65" s="99"/>
      <c r="AM65" s="99"/>
      <c r="AN65" s="99"/>
      <c r="AO65" s="99"/>
      <c r="AP65" s="99"/>
    </row>
    <row r="66" spans="2:42" ht="28.9" thickBot="1" x14ac:dyDescent="0.5">
      <c r="B66" s="99"/>
      <c r="C66" s="100" t="s">
        <v>170</v>
      </c>
      <c r="D66" s="995" t="s">
        <v>173</v>
      </c>
      <c r="E66" s="996"/>
      <c r="F66" s="997" t="s">
        <v>129</v>
      </c>
      <c r="G66" s="996"/>
      <c r="H66" s="964" t="s">
        <v>304</v>
      </c>
      <c r="I66" s="965"/>
      <c r="J66" s="30"/>
      <c r="K66" s="212" t="s">
        <v>7</v>
      </c>
      <c r="L66" s="163" t="s">
        <v>12</v>
      </c>
      <c r="M66" s="163" t="s">
        <v>46</v>
      </c>
      <c r="N66" s="163" t="s">
        <v>45</v>
      </c>
      <c r="O66" s="164" t="s">
        <v>17</v>
      </c>
      <c r="P66" s="161" t="s">
        <v>18</v>
      </c>
      <c r="Q66" s="212" t="s">
        <v>7</v>
      </c>
      <c r="R66" s="266" t="s">
        <v>7</v>
      </c>
      <c r="S66" s="163" t="s">
        <v>177</v>
      </c>
      <c r="T66" s="163" t="s">
        <v>16</v>
      </c>
      <c r="U66" s="163" t="s">
        <v>17</v>
      </c>
      <c r="V66" s="161" t="s">
        <v>18</v>
      </c>
      <c r="W66" s="102" t="s">
        <v>277</v>
      </c>
      <c r="X66" s="212" t="s">
        <v>58</v>
      </c>
      <c r="Y66" s="161" t="s">
        <v>12</v>
      </c>
      <c r="Z66" s="212" t="s">
        <v>277</v>
      </c>
      <c r="AA66" s="212" t="s">
        <v>279</v>
      </c>
      <c r="AB66" s="212"/>
      <c r="AC66" s="212"/>
      <c r="AD66" s="212"/>
      <c r="AE66" s="212"/>
      <c r="AF66" s="99"/>
      <c r="AG66" s="99"/>
      <c r="AH66" s="99"/>
      <c r="AI66" s="99"/>
      <c r="AJ66" s="99"/>
      <c r="AK66" s="99"/>
      <c r="AL66" s="99"/>
      <c r="AM66" s="99"/>
      <c r="AN66" s="99"/>
      <c r="AO66" s="99"/>
      <c r="AP66" s="99"/>
    </row>
    <row r="67" spans="2:42" ht="14.65" thickBot="1" x14ac:dyDescent="0.5">
      <c r="B67" s="45"/>
      <c r="C67" s="45"/>
      <c r="D67" s="19"/>
      <c r="E67" s="21"/>
      <c r="F67" s="20"/>
      <c r="G67" s="268" t="s">
        <v>82</v>
      </c>
      <c r="I67" s="294" t="s">
        <v>82</v>
      </c>
      <c r="J67" s="19"/>
      <c r="K67" s="35"/>
      <c r="L67" s="56"/>
      <c r="M67" s="56"/>
      <c r="N67" s="56"/>
      <c r="O67" s="33"/>
      <c r="P67" s="56"/>
      <c r="Q67" s="56"/>
      <c r="R67" s="56"/>
      <c r="S67" s="267"/>
      <c r="T67" s="56"/>
      <c r="U67" s="267"/>
      <c r="V67" s="56"/>
      <c r="W67" s="267"/>
      <c r="X67" s="35"/>
      <c r="Y67" s="666"/>
      <c r="Z67" s="341"/>
      <c r="AA67" s="341"/>
      <c r="AB67" s="56"/>
      <c r="AC67" s="56"/>
      <c r="AD67" s="45"/>
      <c r="AE67" s="45"/>
    </row>
    <row r="68" spans="2:42" ht="14.65" thickBot="1" x14ac:dyDescent="0.5">
      <c r="B68" s="34"/>
      <c r="C68" s="35" t="s">
        <v>2</v>
      </c>
      <c r="D68" s="23" t="s">
        <v>4</v>
      </c>
      <c r="E68" s="48" t="s">
        <v>4</v>
      </c>
      <c r="F68" s="341" t="s">
        <v>172</v>
      </c>
      <c r="G68" s="24" t="s">
        <v>29</v>
      </c>
      <c r="H68" s="290" t="s">
        <v>4</v>
      </c>
      <c r="I68" s="292" t="s">
        <v>29</v>
      </c>
      <c r="J68" s="184" t="s">
        <v>50</v>
      </c>
      <c r="K68" s="133" t="s">
        <v>74</v>
      </c>
      <c r="L68" s="133" t="s">
        <v>74</v>
      </c>
      <c r="M68" s="133" t="s">
        <v>86</v>
      </c>
      <c r="N68" s="133" t="s">
        <v>86</v>
      </c>
      <c r="O68" s="75" t="s">
        <v>74</v>
      </c>
      <c r="P68" s="133" t="s">
        <v>74</v>
      </c>
      <c r="Q68" s="133" t="s">
        <v>74</v>
      </c>
      <c r="R68" s="133" t="s">
        <v>74</v>
      </c>
      <c r="S68" s="75" t="s">
        <v>74</v>
      </c>
      <c r="T68" s="133" t="s">
        <v>86</v>
      </c>
      <c r="U68" s="75" t="s">
        <v>74</v>
      </c>
      <c r="V68" s="133" t="s">
        <v>74</v>
      </c>
      <c r="W68" s="75" t="s">
        <v>75</v>
      </c>
      <c r="X68" s="133" t="s">
        <v>75</v>
      </c>
      <c r="Y68" s="128" t="s">
        <v>114</v>
      </c>
      <c r="Z68" s="75" t="s">
        <v>75</v>
      </c>
      <c r="AA68" s="75" t="s">
        <v>75</v>
      </c>
      <c r="AB68" s="133" t="s">
        <v>74</v>
      </c>
      <c r="AC68" s="154" t="s">
        <v>74</v>
      </c>
      <c r="AD68" s="154" t="s">
        <v>74</v>
      </c>
      <c r="AE68" s="124"/>
      <c r="AH68" s="988" t="s">
        <v>165</v>
      </c>
      <c r="AI68" s="989"/>
      <c r="AJ68" s="993" t="s">
        <v>90</v>
      </c>
      <c r="AK68" s="994"/>
      <c r="AL68" s="964" t="s">
        <v>89</v>
      </c>
      <c r="AM68" s="965"/>
      <c r="AN68" s="964" t="s">
        <v>175</v>
      </c>
      <c r="AO68" s="966"/>
      <c r="AP68" s="965"/>
    </row>
    <row r="69" spans="2:42" ht="14.65" thickBot="1" x14ac:dyDescent="0.5">
      <c r="B69" s="199" t="s">
        <v>84</v>
      </c>
      <c r="C69" s="31"/>
      <c r="D69" s="338"/>
      <c r="E69" s="340"/>
      <c r="F69" s="339"/>
      <c r="G69" s="265"/>
      <c r="H69" s="30"/>
      <c r="I69" s="105"/>
      <c r="J69" s="338">
        <v>3</v>
      </c>
      <c r="K69" s="71">
        <v>3</v>
      </c>
      <c r="L69" s="71">
        <v>2</v>
      </c>
      <c r="M69" s="31">
        <v>2</v>
      </c>
      <c r="N69" s="31">
        <v>2</v>
      </c>
      <c r="O69" s="209">
        <v>2</v>
      </c>
      <c r="P69" s="31">
        <v>2</v>
      </c>
      <c r="Q69" s="31">
        <v>2</v>
      </c>
      <c r="R69" s="71">
        <v>2</v>
      </c>
      <c r="S69" s="210">
        <v>2</v>
      </c>
      <c r="T69" s="31">
        <v>2</v>
      </c>
      <c r="U69" s="209">
        <v>2</v>
      </c>
      <c r="V69" s="108">
        <v>2</v>
      </c>
      <c r="W69" s="209">
        <v>3</v>
      </c>
      <c r="X69" s="108">
        <v>2</v>
      </c>
      <c r="Y69" s="663">
        <v>1</v>
      </c>
      <c r="Z69" s="446">
        <v>3</v>
      </c>
      <c r="AA69" s="420">
        <v>2</v>
      </c>
      <c r="AB69" s="108">
        <v>1</v>
      </c>
      <c r="AC69" s="211">
        <v>1</v>
      </c>
      <c r="AD69" s="31" t="s">
        <v>174</v>
      </c>
      <c r="AE69" s="31"/>
      <c r="AG69" s="19"/>
      <c r="AH69" s="343"/>
      <c r="AI69" s="344"/>
      <c r="AJ69" s="353"/>
      <c r="AK69" s="353"/>
      <c r="AL69" s="19"/>
      <c r="AM69" s="21"/>
      <c r="AN69" s="665"/>
      <c r="AO69" s="666"/>
      <c r="AP69" s="355"/>
    </row>
    <row r="70" spans="2:42" x14ac:dyDescent="0.45">
      <c r="B70" s="45">
        <v>2008</v>
      </c>
      <c r="C70" s="45"/>
      <c r="D70" s="19"/>
      <c r="E70" s="21"/>
      <c r="F70" s="350"/>
      <c r="G70" s="21"/>
      <c r="H70" s="336">
        <v>115.56307999999996</v>
      </c>
      <c r="I70" s="20"/>
      <c r="J70" s="359">
        <v>0.15129999999999999</v>
      </c>
      <c r="K70" s="360">
        <v>1586.1</v>
      </c>
      <c r="L70" s="56"/>
      <c r="M70" s="56"/>
      <c r="N70" s="56"/>
      <c r="O70" s="20"/>
      <c r="P70" s="87"/>
      <c r="Q70" s="56"/>
      <c r="R70" s="56"/>
      <c r="S70" s="294"/>
      <c r="T70" s="87"/>
      <c r="U70" s="20"/>
      <c r="V70" s="45"/>
      <c r="W70" s="20"/>
      <c r="X70" s="45"/>
      <c r="Y70" s="21"/>
      <c r="Z70" s="21"/>
      <c r="AA70" s="45"/>
      <c r="AB70" s="45"/>
      <c r="AC70" s="21"/>
      <c r="AD70" s="45"/>
      <c r="AE70" s="34"/>
      <c r="AG70" s="47"/>
      <c r="AH70" s="89">
        <v>0.26</v>
      </c>
      <c r="AI70" s="24"/>
      <c r="AJ70" s="341"/>
      <c r="AK70" s="190"/>
      <c r="AL70" s="47"/>
      <c r="AM70" s="48"/>
      <c r="AN70" s="354"/>
      <c r="AO70" s="24"/>
      <c r="AP70" s="356"/>
    </row>
    <row r="71" spans="2:42" x14ac:dyDescent="0.45">
      <c r="B71" s="34">
        <v>2009</v>
      </c>
      <c r="C71" s="34"/>
      <c r="D71" s="47"/>
      <c r="E71" s="48"/>
      <c r="F71" s="351"/>
      <c r="G71" s="48"/>
      <c r="H71" s="336">
        <v>150.11857299999997</v>
      </c>
      <c r="I71" s="33"/>
      <c r="J71" s="187">
        <v>0.13344999999999999</v>
      </c>
      <c r="K71" s="361">
        <v>1459.45</v>
      </c>
      <c r="L71" s="35"/>
      <c r="M71" s="35"/>
      <c r="N71" s="35"/>
      <c r="O71" s="33"/>
      <c r="P71" s="65"/>
      <c r="Q71" s="35"/>
      <c r="R71" s="35"/>
      <c r="S71" s="292"/>
      <c r="T71" s="65"/>
      <c r="U71" s="33"/>
      <c r="V71" s="34"/>
      <c r="W71" s="33"/>
      <c r="X71" s="34"/>
      <c r="Y71" s="48"/>
      <c r="Z71" s="48"/>
      <c r="AA71" s="34"/>
      <c r="AB71" s="34"/>
      <c r="AC71" s="48"/>
      <c r="AD71" s="34"/>
      <c r="AE71" s="34"/>
      <c r="AG71" s="47"/>
      <c r="AH71" s="89">
        <v>0.26</v>
      </c>
      <c r="AI71" s="24"/>
      <c r="AJ71" s="341"/>
      <c r="AK71" s="190"/>
      <c r="AL71" s="47"/>
      <c r="AM71" s="48"/>
      <c r="AN71" s="354"/>
      <c r="AO71" s="24"/>
      <c r="AP71" s="356"/>
    </row>
    <row r="72" spans="2:42" x14ac:dyDescent="0.45">
      <c r="B72" s="34">
        <v>2010</v>
      </c>
      <c r="C72" s="130"/>
      <c r="D72" s="335"/>
      <c r="E72" s="168"/>
      <c r="F72" s="352"/>
      <c r="G72" s="48"/>
      <c r="H72" s="336">
        <v>180.849289</v>
      </c>
      <c r="I72" s="33"/>
      <c r="J72" s="187">
        <v>0.13685</v>
      </c>
      <c r="K72" s="361">
        <v>1306.45</v>
      </c>
      <c r="L72" s="35"/>
      <c r="M72" s="35"/>
      <c r="N72" s="35"/>
      <c r="O72" s="33"/>
      <c r="P72" s="65"/>
      <c r="Q72" s="35"/>
      <c r="R72" s="35"/>
      <c r="S72" s="292"/>
      <c r="T72" s="65"/>
      <c r="U72" s="33"/>
      <c r="V72" s="34"/>
      <c r="W72" s="33"/>
      <c r="X72" s="34"/>
      <c r="Y72" s="48"/>
      <c r="Z72" s="48"/>
      <c r="AA72" s="34"/>
      <c r="AB72" s="34"/>
      <c r="AC72" s="48"/>
      <c r="AD72" s="34"/>
      <c r="AE72" s="34"/>
      <c r="AG72" s="47"/>
      <c r="AH72" s="89">
        <v>0.26</v>
      </c>
      <c r="AI72" s="24"/>
      <c r="AJ72" s="341"/>
      <c r="AK72" s="190"/>
      <c r="AL72" s="47"/>
      <c r="AM72" s="48"/>
      <c r="AN72" s="354"/>
      <c r="AO72" s="24"/>
      <c r="AP72" s="356"/>
    </row>
    <row r="73" spans="2:42" x14ac:dyDescent="0.45">
      <c r="B73" s="34">
        <v>2011</v>
      </c>
      <c r="C73" s="130"/>
      <c r="D73" s="335"/>
      <c r="E73" s="168"/>
      <c r="F73" s="352"/>
      <c r="G73" s="48"/>
      <c r="H73" s="336">
        <v>220.01909000000006</v>
      </c>
      <c r="I73" s="33"/>
      <c r="J73" s="187">
        <v>0.14874999999999999</v>
      </c>
      <c r="K73" s="361">
        <v>1338.75</v>
      </c>
      <c r="L73" s="35"/>
      <c r="M73" s="35"/>
      <c r="N73" s="35"/>
      <c r="O73" s="33"/>
      <c r="P73" s="65"/>
      <c r="Q73" s="35"/>
      <c r="R73" s="35"/>
      <c r="S73" s="292"/>
      <c r="T73" s="65"/>
      <c r="U73" s="33"/>
      <c r="V73" s="34"/>
      <c r="W73" s="33"/>
      <c r="X73" s="34"/>
      <c r="Y73" s="48"/>
      <c r="Z73" s="48"/>
      <c r="AA73" s="34"/>
      <c r="AB73" s="34"/>
      <c r="AC73" s="48"/>
      <c r="AD73" s="34"/>
      <c r="AE73" s="34"/>
      <c r="AG73" s="47"/>
      <c r="AH73" s="89">
        <v>0.26</v>
      </c>
      <c r="AI73" s="24"/>
      <c r="AJ73" s="341"/>
      <c r="AK73" s="190"/>
      <c r="AL73" s="47"/>
      <c r="AM73" s="48"/>
      <c r="AN73" s="354"/>
      <c r="AO73" s="24"/>
      <c r="AP73" s="356"/>
    </row>
    <row r="74" spans="2:42" x14ac:dyDescent="0.45">
      <c r="B74" s="34">
        <v>2012</v>
      </c>
      <c r="C74" s="130"/>
      <c r="D74" s="335"/>
      <c r="E74" s="168"/>
      <c r="F74" s="352"/>
      <c r="G74" s="48"/>
      <c r="H74" s="336">
        <v>266.90755000000001</v>
      </c>
      <c r="I74" s="33"/>
      <c r="J74" s="187">
        <v>0.13089999999999999</v>
      </c>
      <c r="K74" s="361">
        <v>1248.6499999999999</v>
      </c>
      <c r="L74" s="35"/>
      <c r="M74" s="35"/>
      <c r="N74" s="35"/>
      <c r="O74" s="33"/>
      <c r="P74" s="65"/>
      <c r="Q74" s="35"/>
      <c r="R74" s="35"/>
      <c r="S74" s="292"/>
      <c r="T74" s="65"/>
      <c r="U74" s="33"/>
      <c r="V74" s="34"/>
      <c r="W74" s="33"/>
      <c r="X74" s="34"/>
      <c r="Y74" s="48"/>
      <c r="Z74" s="48"/>
      <c r="AA74" s="34"/>
      <c r="AB74" s="34"/>
      <c r="AC74" s="48"/>
      <c r="AD74" s="34"/>
      <c r="AE74" s="34"/>
      <c r="AG74" s="47"/>
      <c r="AH74" s="89">
        <v>0.26</v>
      </c>
      <c r="AI74" s="24"/>
      <c r="AJ74" s="341"/>
      <c r="AK74" s="190"/>
      <c r="AL74" s="47"/>
      <c r="AM74" s="48"/>
      <c r="AN74" s="354"/>
      <c r="AO74" s="24"/>
      <c r="AP74" s="356"/>
    </row>
    <row r="75" spans="2:42" x14ac:dyDescent="0.45">
      <c r="B75" s="34">
        <v>2013</v>
      </c>
      <c r="C75" s="130"/>
      <c r="D75" s="335"/>
      <c r="E75" s="168"/>
      <c r="F75" s="352"/>
      <c r="G75" s="48"/>
      <c r="H75" s="336">
        <v>299.91860500000007</v>
      </c>
      <c r="I75" s="33"/>
      <c r="J75" s="187">
        <v>0.15045</v>
      </c>
      <c r="K75" s="361">
        <v>1212.0999999999999</v>
      </c>
      <c r="L75" s="35"/>
      <c r="M75" s="35"/>
      <c r="N75" s="35"/>
      <c r="O75" s="33"/>
      <c r="P75" s="65"/>
      <c r="Q75" s="35"/>
      <c r="R75" s="35"/>
      <c r="S75" s="292"/>
      <c r="T75" s="65"/>
      <c r="U75" s="33"/>
      <c r="V75" s="34"/>
      <c r="W75" s="33"/>
      <c r="X75" s="34"/>
      <c r="Y75" s="48"/>
      <c r="Z75" s="48"/>
      <c r="AA75" s="34"/>
      <c r="AB75" s="34"/>
      <c r="AC75" s="48"/>
      <c r="AD75" s="34"/>
      <c r="AE75" s="34"/>
      <c r="AG75" s="47"/>
      <c r="AH75" s="89">
        <v>0.26</v>
      </c>
      <c r="AI75" s="24"/>
      <c r="AJ75" s="341"/>
      <c r="AK75" s="190"/>
      <c r="AL75" s="47"/>
      <c r="AM75" s="48"/>
      <c r="AN75" s="354"/>
      <c r="AO75" s="24"/>
      <c r="AP75" s="356"/>
    </row>
    <row r="76" spans="2:42" x14ac:dyDescent="0.45">
      <c r="B76" s="34">
        <v>2014</v>
      </c>
      <c r="C76" s="130"/>
      <c r="D76" s="335"/>
      <c r="E76" s="168"/>
      <c r="F76" s="352"/>
      <c r="G76" s="48"/>
      <c r="H76" s="336">
        <v>349.29990700000008</v>
      </c>
      <c r="I76" s="33"/>
      <c r="J76" s="187">
        <v>0.15554999999999999</v>
      </c>
      <c r="K76" s="361">
        <v>1085.45</v>
      </c>
      <c r="L76" s="35"/>
      <c r="M76" s="35"/>
      <c r="N76" s="35"/>
      <c r="O76" s="33"/>
      <c r="P76" s="65"/>
      <c r="Q76" s="35"/>
      <c r="R76" s="35"/>
      <c r="S76" s="292"/>
      <c r="T76" s="65"/>
      <c r="U76" s="33"/>
      <c r="V76" s="34"/>
      <c r="W76" s="33"/>
      <c r="X76" s="34"/>
      <c r="Y76" s="48"/>
      <c r="Z76" s="48"/>
      <c r="AA76" s="34"/>
      <c r="AB76" s="34"/>
      <c r="AC76" s="48"/>
      <c r="AD76" s="34"/>
      <c r="AE76" s="34"/>
      <c r="AG76" s="47"/>
      <c r="AH76" s="89">
        <v>0.26</v>
      </c>
      <c r="AI76" s="24"/>
      <c r="AJ76" s="341"/>
      <c r="AK76" s="190"/>
      <c r="AL76" s="47"/>
      <c r="AM76" s="48"/>
      <c r="AN76" s="354"/>
      <c r="AO76" s="24"/>
      <c r="AP76" s="356"/>
    </row>
    <row r="77" spans="2:42" x14ac:dyDescent="0.45">
      <c r="B77" s="34">
        <v>2015</v>
      </c>
      <c r="C77" s="130"/>
      <c r="D77" s="335"/>
      <c r="E77" s="168"/>
      <c r="F77" s="352"/>
      <c r="G77" s="48"/>
      <c r="H77" s="336">
        <v>416.24831700000027</v>
      </c>
      <c r="I77" s="33"/>
      <c r="J77" s="187">
        <v>0.14365</v>
      </c>
      <c r="K77" s="361">
        <v>927.35</v>
      </c>
      <c r="L77" s="35"/>
      <c r="M77" s="35"/>
      <c r="N77" s="35"/>
      <c r="O77" s="33"/>
      <c r="P77" s="65"/>
      <c r="Q77" s="35"/>
      <c r="R77" s="35"/>
      <c r="S77" s="292"/>
      <c r="T77" s="65"/>
      <c r="U77" s="33"/>
      <c r="V77" s="34"/>
      <c r="W77" s="33"/>
      <c r="X77" s="34"/>
      <c r="Y77" s="48"/>
      <c r="Z77" s="48"/>
      <c r="AA77" s="34"/>
      <c r="AB77" s="34"/>
      <c r="AC77" s="48"/>
      <c r="AD77" s="34"/>
      <c r="AE77" s="34"/>
      <c r="AG77" s="47"/>
      <c r="AH77" s="89">
        <v>0.26</v>
      </c>
      <c r="AI77" s="24"/>
      <c r="AJ77" s="341"/>
      <c r="AK77" s="190"/>
      <c r="AL77" s="47"/>
      <c r="AM77" s="48"/>
      <c r="AN77" s="354"/>
      <c r="AO77" s="24"/>
      <c r="AP77" s="356"/>
    </row>
    <row r="78" spans="2:42" x14ac:dyDescent="0.45">
      <c r="B78" s="34">
        <v>2016</v>
      </c>
      <c r="C78" s="130"/>
      <c r="D78" s="335"/>
      <c r="E78" s="168"/>
      <c r="F78" s="352"/>
      <c r="G78" s="48"/>
      <c r="H78" s="336">
        <v>466.86423000000019</v>
      </c>
      <c r="I78" s="33"/>
      <c r="J78" s="187">
        <v>0.12409999999999999</v>
      </c>
      <c r="K78" s="361">
        <v>903.55</v>
      </c>
      <c r="L78" s="35"/>
      <c r="M78" s="35"/>
      <c r="N78" s="35"/>
      <c r="O78" s="33"/>
      <c r="P78" s="65"/>
      <c r="Q78" s="35"/>
      <c r="R78" s="35"/>
      <c r="S78" s="292"/>
      <c r="T78" s="65"/>
      <c r="U78" s="33"/>
      <c r="V78" s="34"/>
      <c r="W78" s="33"/>
      <c r="X78" s="34"/>
      <c r="Y78" s="48"/>
      <c r="Z78" s="48"/>
      <c r="AA78" s="34"/>
      <c r="AB78" s="34"/>
      <c r="AC78" s="48"/>
      <c r="AD78" s="34"/>
      <c r="AE78" s="34"/>
      <c r="AG78" s="47"/>
      <c r="AH78" s="89">
        <v>0.26</v>
      </c>
      <c r="AI78" s="24"/>
      <c r="AJ78" s="341"/>
      <c r="AK78" s="190"/>
      <c r="AL78" s="47"/>
      <c r="AM78" s="48"/>
      <c r="AN78" s="354"/>
      <c r="AO78" s="24"/>
      <c r="AP78" s="356"/>
    </row>
    <row r="79" spans="2:42" x14ac:dyDescent="0.45">
      <c r="B79" s="34">
        <v>2017</v>
      </c>
      <c r="C79" s="130"/>
      <c r="D79" s="335"/>
      <c r="E79" s="168"/>
      <c r="F79" s="352"/>
      <c r="G79" s="48"/>
      <c r="H79" s="336">
        <v>514.37380000000007</v>
      </c>
      <c r="I79" s="33"/>
      <c r="J79" s="187">
        <v>0.11135</v>
      </c>
      <c r="K79" s="361">
        <v>795.6</v>
      </c>
      <c r="L79" s="35"/>
      <c r="M79" s="35"/>
      <c r="N79" s="35"/>
      <c r="O79" s="33"/>
      <c r="P79" s="65"/>
      <c r="Q79" s="35"/>
      <c r="R79" s="35"/>
      <c r="S79" s="292"/>
      <c r="T79" s="65"/>
      <c r="U79" s="33"/>
      <c r="V79" s="34"/>
      <c r="W79" s="33"/>
      <c r="X79" s="34"/>
      <c r="Y79" s="48"/>
      <c r="Z79" s="48"/>
      <c r="AA79" s="34"/>
      <c r="AB79" s="34"/>
      <c r="AC79" s="48"/>
      <c r="AD79" s="34"/>
      <c r="AE79" s="34"/>
      <c r="AG79" s="47"/>
      <c r="AH79" s="89">
        <v>0.26</v>
      </c>
      <c r="AI79" s="24"/>
      <c r="AJ79" s="341"/>
      <c r="AK79" s="190"/>
      <c r="AL79" s="47"/>
      <c r="AM79" s="48"/>
      <c r="AN79" s="354"/>
      <c r="AO79" s="24"/>
      <c r="AP79" s="356"/>
    </row>
    <row r="80" spans="2:42" x14ac:dyDescent="0.45">
      <c r="B80" s="34">
        <v>2018</v>
      </c>
      <c r="C80" s="130"/>
      <c r="D80" s="335"/>
      <c r="E80" s="168"/>
      <c r="F80" s="352"/>
      <c r="G80" s="48"/>
      <c r="H80" s="336">
        <v>563.8298530000003</v>
      </c>
      <c r="I80" s="33"/>
      <c r="J80" s="187">
        <v>0.10795</v>
      </c>
      <c r="K80" s="361">
        <v>762.44999999999993</v>
      </c>
      <c r="L80" s="35"/>
      <c r="M80" s="35"/>
      <c r="N80" s="35"/>
      <c r="O80" s="33"/>
      <c r="P80" s="65"/>
      <c r="Q80" s="35"/>
      <c r="R80" s="35"/>
      <c r="S80" s="292"/>
      <c r="T80" s="65"/>
      <c r="U80" s="33"/>
      <c r="V80" s="34"/>
      <c r="W80" s="33"/>
      <c r="X80" s="34"/>
      <c r="Y80" s="48"/>
      <c r="Z80" s="48"/>
      <c r="AA80" s="34"/>
      <c r="AB80" s="34"/>
      <c r="AC80" s="48"/>
      <c r="AD80" s="34"/>
      <c r="AE80" s="34"/>
      <c r="AG80" s="47"/>
      <c r="AH80" s="89">
        <v>0.26</v>
      </c>
      <c r="AI80" s="24"/>
      <c r="AJ80" s="341"/>
      <c r="AK80" s="190"/>
      <c r="AL80" s="47"/>
      <c r="AM80" s="48"/>
      <c r="AN80" s="354"/>
      <c r="AO80" s="24"/>
      <c r="AP80" s="356"/>
    </row>
    <row r="81" spans="1:42" x14ac:dyDescent="0.45">
      <c r="B81" s="314">
        <v>2019</v>
      </c>
      <c r="C81" s="495"/>
      <c r="D81" s="496"/>
      <c r="E81" s="497"/>
      <c r="F81" s="498"/>
      <c r="G81" s="315"/>
      <c r="H81" s="174">
        <v>622.2488470000003</v>
      </c>
      <c r="I81" s="499"/>
      <c r="J81" s="500">
        <v>9.7750000000000004E-2</v>
      </c>
      <c r="K81" s="501">
        <v>730.05497577991309</v>
      </c>
      <c r="L81" s="502"/>
      <c r="M81" s="502"/>
      <c r="N81" s="502"/>
      <c r="O81" s="499"/>
      <c r="P81" s="503"/>
      <c r="Q81" s="502"/>
      <c r="R81" s="502"/>
      <c r="S81" s="504"/>
      <c r="T81" s="503"/>
      <c r="U81" s="499"/>
      <c r="V81" s="314"/>
      <c r="W81" s="505">
        <v>34.700000000000003</v>
      </c>
      <c r="X81" s="507">
        <v>14.1</v>
      </c>
      <c r="Y81" s="691">
        <v>0.02</v>
      </c>
      <c r="Z81" s="506">
        <v>17.3</v>
      </c>
      <c r="AA81" s="507">
        <v>11.7</v>
      </c>
      <c r="AB81" s="314"/>
      <c r="AC81" s="315"/>
      <c r="AD81" s="314"/>
      <c r="AE81" s="314"/>
      <c r="AF81" s="508"/>
      <c r="AG81" s="509"/>
      <c r="AH81" s="89">
        <v>0.26</v>
      </c>
      <c r="AI81" s="510"/>
      <c r="AJ81" s="504"/>
      <c r="AK81" s="511"/>
      <c r="AL81" s="509"/>
      <c r="AM81" s="315"/>
      <c r="AN81" s="512"/>
      <c r="AO81" s="510"/>
      <c r="AP81" s="513"/>
    </row>
    <row r="82" spans="1:42" x14ac:dyDescent="0.45">
      <c r="B82" s="34">
        <v>2020</v>
      </c>
      <c r="C82" s="130">
        <v>35000.000000000007</v>
      </c>
      <c r="D82" s="335">
        <v>35</v>
      </c>
      <c r="E82" s="168"/>
      <c r="F82" s="349"/>
      <c r="G82" s="48"/>
      <c r="H82" s="64">
        <v>731</v>
      </c>
      <c r="I82" s="33"/>
      <c r="J82" s="187">
        <v>0.10795</v>
      </c>
      <c r="K82" s="362">
        <v>702.99777844683831</v>
      </c>
      <c r="L82" s="35"/>
      <c r="M82" s="35"/>
      <c r="N82" s="35"/>
      <c r="O82" s="33"/>
      <c r="P82" s="65"/>
      <c r="Q82" s="35"/>
      <c r="R82" s="35"/>
      <c r="S82" s="292"/>
      <c r="T82" s="65"/>
      <c r="U82" s="33"/>
      <c r="V82" s="34"/>
      <c r="W82" s="141">
        <f t="shared" ref="W82:AA85" si="0">0.98*W81</f>
        <v>34.006</v>
      </c>
      <c r="X82" s="52"/>
      <c r="Y82" s="463">
        <f>Y81</f>
        <v>0.02</v>
      </c>
      <c r="Z82" s="142">
        <f t="shared" si="0"/>
        <v>16.954000000000001</v>
      </c>
      <c r="AA82" s="52">
        <f t="shared" si="0"/>
        <v>11.465999999999999</v>
      </c>
      <c r="AB82" s="34"/>
      <c r="AC82" s="48"/>
      <c r="AD82" s="34"/>
      <c r="AE82" s="34"/>
      <c r="AG82" s="47"/>
      <c r="AH82" s="89">
        <v>0.26</v>
      </c>
      <c r="AI82" s="24"/>
      <c r="AJ82" s="341"/>
      <c r="AK82" s="190"/>
      <c r="AL82" s="47"/>
      <c r="AM82" s="48"/>
      <c r="AN82" s="354"/>
      <c r="AO82" s="24"/>
      <c r="AP82" s="356"/>
    </row>
    <row r="83" spans="1:42" x14ac:dyDescent="0.45">
      <c r="B83" s="34">
        <v>2021</v>
      </c>
      <c r="C83" s="35">
        <v>47500.000000000007</v>
      </c>
      <c r="D83" s="67">
        <f t="shared" ref="D83:D112" si="1">(1+E83)*D82</f>
        <v>45.5</v>
      </c>
      <c r="E83" s="191">
        <v>0.3</v>
      </c>
      <c r="F83" s="349"/>
      <c r="G83" s="48"/>
      <c r="H83" s="26">
        <f>(1+I83)*H82</f>
        <v>804.1</v>
      </c>
      <c r="I83" s="192">
        <v>0.1</v>
      </c>
      <c r="J83" s="187">
        <v>0.11815000000000001</v>
      </c>
      <c r="K83" s="362">
        <v>687.46217250742529</v>
      </c>
      <c r="L83" s="35"/>
      <c r="M83" s="35"/>
      <c r="N83" s="35"/>
      <c r="O83" s="33"/>
      <c r="P83" s="65"/>
      <c r="Q83" s="35"/>
      <c r="R83" s="35"/>
      <c r="S83" s="292"/>
      <c r="T83" s="65"/>
      <c r="U83" s="33"/>
      <c r="V83" s="34"/>
      <c r="W83" s="141">
        <f t="shared" si="0"/>
        <v>33.325879999999998</v>
      </c>
      <c r="X83" s="52"/>
      <c r="Y83" s="463">
        <f>Y82</f>
        <v>0.02</v>
      </c>
      <c r="Z83" s="142">
        <f t="shared" si="0"/>
        <v>16.614920000000001</v>
      </c>
      <c r="AA83" s="52">
        <f t="shared" si="0"/>
        <v>11.23668</v>
      </c>
      <c r="AB83" s="34"/>
      <c r="AC83" s="48"/>
      <c r="AD83" s="34"/>
      <c r="AE83" s="34"/>
      <c r="AG83" s="47"/>
      <c r="AH83" s="89">
        <v>0.26</v>
      </c>
      <c r="AI83" s="24"/>
      <c r="AJ83" s="341"/>
      <c r="AK83" s="190"/>
      <c r="AL83" s="47"/>
      <c r="AM83" s="48"/>
      <c r="AN83" s="354"/>
      <c r="AO83" s="24"/>
      <c r="AP83" s="356"/>
    </row>
    <row r="84" spans="1:42" x14ac:dyDescent="0.45">
      <c r="B84" s="34">
        <v>2022</v>
      </c>
      <c r="C84" s="35">
        <v>60000</v>
      </c>
      <c r="D84" s="67">
        <f t="shared" si="1"/>
        <v>58.24</v>
      </c>
      <c r="E84" s="191">
        <v>0.28000000000000003</v>
      </c>
      <c r="F84" s="349"/>
      <c r="G84" s="48"/>
      <c r="H84" s="26">
        <f t="shared" ref="H84:H112" si="2">(1+I84)*H83</f>
        <v>884.5100000000001</v>
      </c>
      <c r="I84" s="192">
        <v>0.1</v>
      </c>
      <c r="J84" s="187">
        <v>8.2449999999999996E-2</v>
      </c>
      <c r="K84" s="362">
        <v>672.26988920615486</v>
      </c>
      <c r="L84" s="35"/>
      <c r="M84" s="35"/>
      <c r="N84" s="35"/>
      <c r="O84" s="33"/>
      <c r="P84" s="65"/>
      <c r="Q84" s="35"/>
      <c r="R84" s="35"/>
      <c r="S84" s="292"/>
      <c r="T84" s="65"/>
      <c r="U84" s="33"/>
      <c r="V84" s="34"/>
      <c r="W84" s="141">
        <f t="shared" si="0"/>
        <v>32.659362399999999</v>
      </c>
      <c r="X84" s="52"/>
      <c r="Y84" s="463">
        <f>Y83</f>
        <v>0.02</v>
      </c>
      <c r="Z84" s="142">
        <f t="shared" si="0"/>
        <v>16.282621600000002</v>
      </c>
      <c r="AA84" s="52">
        <f t="shared" si="0"/>
        <v>11.011946399999999</v>
      </c>
      <c r="AB84" s="34"/>
      <c r="AC84" s="48"/>
      <c r="AD84" s="34"/>
      <c r="AE84" s="34"/>
      <c r="AG84" s="47"/>
      <c r="AH84" s="89">
        <v>0.26</v>
      </c>
      <c r="AI84" s="24"/>
      <c r="AJ84" s="341"/>
      <c r="AK84" s="190"/>
      <c r="AL84" s="47"/>
      <c r="AM84" s="48"/>
      <c r="AN84" s="354"/>
      <c r="AO84" s="24"/>
      <c r="AP84" s="356"/>
    </row>
    <row r="85" spans="1:42" ht="14.65" thickBot="1" x14ac:dyDescent="0.5">
      <c r="B85" s="569">
        <v>2023</v>
      </c>
      <c r="C85" s="673">
        <v>75000</v>
      </c>
      <c r="D85" s="674">
        <f t="shared" si="1"/>
        <v>73.382400000000004</v>
      </c>
      <c r="E85" s="675">
        <v>0.26</v>
      </c>
      <c r="F85" s="676"/>
      <c r="G85" s="677"/>
      <c r="H85" s="215">
        <f t="shared" si="2"/>
        <v>972.96100000000024</v>
      </c>
      <c r="I85" s="574">
        <v>0.1</v>
      </c>
      <c r="J85" s="678">
        <v>6.9699999999999998E-2</v>
      </c>
      <c r="K85" s="679">
        <f>E41</f>
        <v>657</v>
      </c>
      <c r="L85" s="214">
        <f>E44</f>
        <v>325</v>
      </c>
      <c r="M85" s="214">
        <f>E47</f>
        <v>380</v>
      </c>
      <c r="N85" s="214">
        <f>E49</f>
        <v>2510</v>
      </c>
      <c r="O85" s="215">
        <f>E50</f>
        <v>145</v>
      </c>
      <c r="P85" s="214">
        <f>E52</f>
        <v>34.799999999999997</v>
      </c>
      <c r="Q85" s="214">
        <f>E42</f>
        <v>337.93472584856397</v>
      </c>
      <c r="R85" s="214">
        <f>E43</f>
        <v>58</v>
      </c>
      <c r="S85" s="215">
        <f>E45</f>
        <v>116</v>
      </c>
      <c r="T85" s="214">
        <f>E48</f>
        <v>1470</v>
      </c>
      <c r="U85" s="215">
        <f>E51</f>
        <v>40.6</v>
      </c>
      <c r="V85" s="214">
        <f>E53</f>
        <v>34.799999999999997</v>
      </c>
      <c r="W85" s="567">
        <f t="shared" si="0"/>
        <v>32.006175151999997</v>
      </c>
      <c r="X85" s="568">
        <f>0.9*X81</f>
        <v>12.69</v>
      </c>
      <c r="Y85" s="463">
        <f>Y84</f>
        <v>0.02</v>
      </c>
      <c r="Z85" s="680">
        <f t="shared" si="0"/>
        <v>15.956969168000002</v>
      </c>
      <c r="AA85" s="568">
        <f t="shared" si="0"/>
        <v>10.791707471999999</v>
      </c>
      <c r="AB85" s="214">
        <f>E55</f>
        <v>139</v>
      </c>
      <c r="AC85" s="216">
        <f>E56</f>
        <v>250</v>
      </c>
      <c r="AD85" s="569"/>
      <c r="AE85" s="569"/>
      <c r="AF85" s="570"/>
      <c r="AG85" s="571">
        <v>2023</v>
      </c>
      <c r="AH85" s="572">
        <v>0.25</v>
      </c>
      <c r="AI85" s="573">
        <f t="shared" ref="AI85:AI112" si="3">LOG(1-AH85)/LOG(2)</f>
        <v>-0.41503749927884381</v>
      </c>
      <c r="AJ85" s="574">
        <v>0.15</v>
      </c>
      <c r="AK85" s="575">
        <f t="shared" ref="AK85:AK112" si="4">LOG(1-AJ85)/LOG(2)</f>
        <v>-0.234465253637023</v>
      </c>
      <c r="AL85" s="576">
        <v>0</v>
      </c>
      <c r="AM85" s="573">
        <f t="shared" ref="AM85:AM112" si="5">LOG(1-AL85)/LOG(2)</f>
        <v>0</v>
      </c>
      <c r="AN85" s="577"/>
      <c r="AO85" s="694"/>
      <c r="AP85" s="578"/>
    </row>
    <row r="86" spans="1:42" x14ac:dyDescent="0.45">
      <c r="A86">
        <v>17</v>
      </c>
      <c r="B86" s="34">
        <v>2024</v>
      </c>
      <c r="C86" s="35">
        <v>88750</v>
      </c>
      <c r="D86" s="67">
        <f t="shared" si="1"/>
        <v>91.728000000000009</v>
      </c>
      <c r="E86" s="191">
        <v>0.25</v>
      </c>
      <c r="F86" s="349"/>
      <c r="G86" s="48"/>
      <c r="H86" s="26">
        <f t="shared" si="2"/>
        <v>1070.2571000000003</v>
      </c>
      <c r="I86" s="192">
        <v>0.1</v>
      </c>
      <c r="J86" s="185">
        <f t="shared" ref="J86:J112" si="6">MAX(($D86/$D85)^(IF(J$69=1,$AM86,IF(J$69=2,$AK86,$AI86)))*J85,J$116)</f>
        <v>6.3806265245077598E-2</v>
      </c>
      <c r="K86" s="44">
        <f t="shared" ref="K86:K112" si="7">MAX(($H86/$H85)^(IF(K$69=1,$AM86,IF(K$69=2,$AK86,$AI86)))*K85,K$116)</f>
        <v>632.66938375569043</v>
      </c>
      <c r="L86" s="44">
        <f t="shared" ref="L86:L112" si="8">MAX(($D86/$D85)^(IF(L$69=1,$AM86,IF(L$69=2,$AK86,$AI86)))*L85,L$116)</f>
        <v>308.43334949107975</v>
      </c>
      <c r="M86" s="44">
        <f t="shared" ref="M86:M112" si="9">MAX(($D86/$D85)^(IF(M$69=1,$AM86,IF(M$69=2,$AK86,$AI86)))*M85,M$116)</f>
        <v>360.62976248187789</v>
      </c>
      <c r="N86" s="44">
        <f t="shared" ref="N86:N112" si="10">MAX(($D86/$D85)^(IF(N$69=1,$AM86,IF(N$69=2,$AK86,$AI86)))*N85,N$116)</f>
        <v>2382.0544837618777</v>
      </c>
      <c r="O86" s="44">
        <f t="shared" ref="O86:O112" si="11">MAX(($D86/$D85)^(IF(O$69=1,$AM86,IF(O$69=2,$AK86,$AI86)))*O85,O$116)</f>
        <v>137.60872515755867</v>
      </c>
      <c r="P86" s="44">
        <f t="shared" ref="P86:P112" si="12">MAX(($D86/$D85)^(IF(P$69=1,$AM86,IF(P$69=2,$AK86,$AI86)))*P85,P$116)</f>
        <v>33.026094037814076</v>
      </c>
      <c r="Q86" s="44">
        <f t="shared" ref="Q86:Q112" si="13">MAX(($D86/$D85)^(IF(Q$69=1,$AM86,IF(Q$69=2,$AK86,$AI86)))*Q85,Q$116)</f>
        <v>320.70873662406882</v>
      </c>
      <c r="R86" s="44">
        <f t="shared" ref="R86:R112" si="14">MAX(($D86/$D85)^(IF(R$69=1,$AM86,IF(R$69=2,$AK86,$AI86)))*R85,R$116)</f>
        <v>55.043490063023462</v>
      </c>
      <c r="S86" s="44">
        <f t="shared" ref="S86:S112" si="15">MAX(($D86/$D85)^(IF(S$69=1,$AM86,IF(S$69=2,$AK86,$AI86)))*S85,S$116)</f>
        <v>110.08698012604692</v>
      </c>
      <c r="T86" s="44">
        <f t="shared" ref="T86:T112" si="16">MAX(($D86/$D85)^(IF(T$69=1,$AM86,IF(T$69=2,$AK86,$AI86)))*T85,T$116)</f>
        <v>1395.0677653904222</v>
      </c>
      <c r="U86" s="44">
        <f t="shared" ref="U86:U112" si="17">MAX(($D86/$D85)^(IF(U$69=1,$AM86,IF(U$69=2,$AK86,$AI86)))*U85,U$116)</f>
        <v>38.530443044116424</v>
      </c>
      <c r="V86" s="44">
        <f t="shared" ref="V86:V112" si="18">MAX(($D86/$D85)^(IF(V$69=1,$AM86,IF(V$69=2,$AK86,$AI86)))*V85,V$116)</f>
        <v>33.026094037814076</v>
      </c>
      <c r="W86" s="298">
        <f t="shared" ref="W86:W112" si="19">MAX(($D86/$D85)^(IF(W$69=1,$AM86,IF(W$69=2,$AK86,$AI86)))*W85,W$116)</f>
        <v>29.299777635996033</v>
      </c>
      <c r="X86" s="52">
        <f t="shared" ref="X86:X112" si="20">MAX(($D86/$D85)^(IF(X$69=1,$AM86,IF(X$69=2,$AK86,$AI86)))*X85,X$116)</f>
        <v>12.043136015513237</v>
      </c>
      <c r="Y86" s="463">
        <f t="shared" ref="Y86:Y112" si="21">MAX(($D86/$D85)^(IF(Y$69=1,$AM86,IF(Y$69=2,$AK86,$AI86)))*Y85,Y$116)</f>
        <v>0.02</v>
      </c>
      <c r="Z86" s="142">
        <f t="shared" ref="Z86:Z112" si="22">MAX(($D86/$D85)^(IF(Z$69=1,$AM86,IF(Z$69=2,$AK86,$AI86)))*Z85,Z$116)</f>
        <v>14.607670118234337</v>
      </c>
      <c r="AA86" s="52">
        <f t="shared" ref="AA86:AA112" si="23">MAX(($D86/$D85)^(IF(AA$69=1,$AM86,IF(AA$69=2,$AK86,$AI86)))*AA85,AA$116)</f>
        <v>10.241607637898069</v>
      </c>
      <c r="AB86" s="44">
        <f t="shared" ref="AB86:AB112" si="24">MAX(($D86/$D85)^(IF(AB$69=1,$AM86,IF(AB$69=2,$AK86,$AI86)))*AB85,AB$116)</f>
        <v>139</v>
      </c>
      <c r="AC86" s="44">
        <f t="shared" ref="AC86:AC112" si="25">MAX(($D86/$D85)^(IF(AC$69=1,$AM86,IF(AC$69=2,$AK86,$AI86)))*AC85,AC$116)</f>
        <v>250</v>
      </c>
      <c r="AD86" s="34"/>
      <c r="AE86" s="34"/>
      <c r="AG86" s="47">
        <v>2024</v>
      </c>
      <c r="AH86" s="140">
        <v>0.24</v>
      </c>
      <c r="AI86" s="197">
        <f t="shared" si="3"/>
        <v>-0.39592867633113921</v>
      </c>
      <c r="AJ86" s="192">
        <v>0.15</v>
      </c>
      <c r="AK86" s="195">
        <f t="shared" si="4"/>
        <v>-0.234465253637023</v>
      </c>
      <c r="AL86" s="89">
        <v>0</v>
      </c>
      <c r="AM86" s="197">
        <f t="shared" si="5"/>
        <v>0</v>
      </c>
      <c r="AN86" s="354"/>
      <c r="AO86" s="24"/>
      <c r="AP86" s="356"/>
    </row>
    <row r="87" spans="1:42" x14ac:dyDescent="0.45">
      <c r="B87" s="34">
        <v>2025</v>
      </c>
      <c r="C87" s="35">
        <v>107500</v>
      </c>
      <c r="D87" s="67">
        <f t="shared" si="1"/>
        <v>113.74272000000001</v>
      </c>
      <c r="E87" s="191">
        <v>0.24</v>
      </c>
      <c r="F87" s="349">
        <v>0.1</v>
      </c>
      <c r="G87" s="48"/>
      <c r="H87" s="26">
        <f t="shared" si="2"/>
        <v>1177.2828100000004</v>
      </c>
      <c r="I87" s="192">
        <v>0.1</v>
      </c>
      <c r="J87" s="185">
        <f t="shared" si="6"/>
        <v>5.8835147000706856E-2</v>
      </c>
      <c r="K87" s="44">
        <f t="shared" si="7"/>
        <v>610.33586811081955</v>
      </c>
      <c r="L87" s="44">
        <f t="shared" si="8"/>
        <v>293.26294470951723</v>
      </c>
      <c r="M87" s="44">
        <f t="shared" si="9"/>
        <v>342.89205842958938</v>
      </c>
      <c r="N87" s="44">
        <f t="shared" si="10"/>
        <v>2264.8922806796563</v>
      </c>
      <c r="O87" s="44">
        <f t="shared" si="11"/>
        <v>130.84039071655386</v>
      </c>
      <c r="P87" s="44">
        <f t="shared" si="12"/>
        <v>31.401693771972919</v>
      </c>
      <c r="Q87" s="44">
        <f t="shared" si="13"/>
        <v>304.93456252908703</v>
      </c>
      <c r="R87" s="44">
        <f t="shared" si="14"/>
        <v>52.336156286621538</v>
      </c>
      <c r="S87" s="44">
        <f t="shared" si="15"/>
        <v>104.67231257324308</v>
      </c>
      <c r="T87" s="44">
        <f t="shared" si="16"/>
        <v>1326.450857609201</v>
      </c>
      <c r="U87" s="44">
        <f t="shared" si="17"/>
        <v>36.635309400635073</v>
      </c>
      <c r="V87" s="44">
        <f t="shared" si="18"/>
        <v>31.401693771972919</v>
      </c>
      <c r="W87" s="298">
        <f t="shared" si="19"/>
        <v>27.017044763246641</v>
      </c>
      <c r="X87" s="52">
        <f t="shared" si="20"/>
        <v>11.450790056503919</v>
      </c>
      <c r="Y87" s="463">
        <f t="shared" si="21"/>
        <v>0.02</v>
      </c>
      <c r="Z87" s="142">
        <f t="shared" si="22"/>
        <v>13.469592922310289</v>
      </c>
      <c r="AA87" s="52">
        <f t="shared" si="23"/>
        <v>9.7378704974843675</v>
      </c>
      <c r="AB87" s="44">
        <f t="shared" si="24"/>
        <v>139</v>
      </c>
      <c r="AC87" s="44">
        <f t="shared" si="25"/>
        <v>250</v>
      </c>
      <c r="AD87" s="34"/>
      <c r="AE87" s="34"/>
      <c r="AG87" s="47">
        <v>2025</v>
      </c>
      <c r="AH87" s="140">
        <v>0.23</v>
      </c>
      <c r="AI87" s="197">
        <f t="shared" si="3"/>
        <v>-0.37706964907982327</v>
      </c>
      <c r="AJ87" s="192">
        <v>0.15</v>
      </c>
      <c r="AK87" s="195">
        <f t="shared" si="4"/>
        <v>-0.234465253637023</v>
      </c>
      <c r="AL87" s="89">
        <v>0</v>
      </c>
      <c r="AM87" s="197">
        <f t="shared" si="5"/>
        <v>0</v>
      </c>
      <c r="AN87" s="354"/>
      <c r="AO87" s="24"/>
      <c r="AP87" s="356"/>
    </row>
    <row r="88" spans="1:42" x14ac:dyDescent="0.45">
      <c r="B88" s="34">
        <v>2026</v>
      </c>
      <c r="C88" s="35">
        <v>128750</v>
      </c>
      <c r="D88" s="67">
        <f t="shared" si="1"/>
        <v>139.9035456</v>
      </c>
      <c r="E88" s="191">
        <v>0.23</v>
      </c>
      <c r="F88" s="349">
        <v>1</v>
      </c>
      <c r="G88" s="48"/>
      <c r="H88" s="26">
        <f t="shared" si="2"/>
        <v>1295.0110910000005</v>
      </c>
      <c r="I88" s="192">
        <v>0.1</v>
      </c>
      <c r="J88" s="185">
        <f t="shared" si="6"/>
        <v>5.4627333081980881E-2</v>
      </c>
      <c r="K88" s="44">
        <f t="shared" si="7"/>
        <v>589.83633297647998</v>
      </c>
      <c r="L88" s="44">
        <f t="shared" si="8"/>
        <v>279.3685838614644</v>
      </c>
      <c r="M88" s="44">
        <f t="shared" si="9"/>
        <v>326.64634420725071</v>
      </c>
      <c r="N88" s="44">
        <f t="shared" si="10"/>
        <v>2157.5850630531559</v>
      </c>
      <c r="O88" s="44">
        <f t="shared" si="11"/>
        <v>124.64136818434567</v>
      </c>
      <c r="P88" s="44">
        <f t="shared" si="12"/>
        <v>29.913928364242956</v>
      </c>
      <c r="Q88" s="44">
        <f t="shared" si="13"/>
        <v>290.48721783977089</v>
      </c>
      <c r="R88" s="44">
        <f t="shared" si="14"/>
        <v>49.856547273738265</v>
      </c>
      <c r="S88" s="44">
        <f t="shared" si="15"/>
        <v>99.71309454747653</v>
      </c>
      <c r="T88" s="44">
        <f t="shared" si="16"/>
        <v>1263.6055946964698</v>
      </c>
      <c r="U88" s="44">
        <f t="shared" si="17"/>
        <v>34.899583091616783</v>
      </c>
      <c r="V88" s="44">
        <f t="shared" si="18"/>
        <v>29.913928364242956</v>
      </c>
      <c r="W88" s="298">
        <f t="shared" si="19"/>
        <v>25.084820526664615</v>
      </c>
      <c r="X88" s="52">
        <f t="shared" si="20"/>
        <v>10.908268705236871</v>
      </c>
      <c r="Y88" s="463">
        <f t="shared" si="21"/>
        <v>0.02</v>
      </c>
      <c r="Z88" s="142">
        <f t="shared" si="22"/>
        <v>12.506264988798213</v>
      </c>
      <c r="AA88" s="52">
        <f t="shared" si="23"/>
        <v>9.2765047196917649</v>
      </c>
      <c r="AB88" s="44">
        <f t="shared" si="24"/>
        <v>139</v>
      </c>
      <c r="AC88" s="44">
        <f t="shared" si="25"/>
        <v>250</v>
      </c>
      <c r="AD88" s="34"/>
      <c r="AE88" s="34"/>
      <c r="AG88" s="47">
        <v>2026</v>
      </c>
      <c r="AH88" s="140">
        <v>0.22</v>
      </c>
      <c r="AI88" s="197">
        <f t="shared" si="3"/>
        <v>-0.35845397091247627</v>
      </c>
      <c r="AJ88" s="192">
        <v>0.15</v>
      </c>
      <c r="AK88" s="195">
        <f t="shared" si="4"/>
        <v>-0.234465253637023</v>
      </c>
      <c r="AL88" s="89">
        <v>0</v>
      </c>
      <c r="AM88" s="197">
        <f t="shared" si="5"/>
        <v>0</v>
      </c>
      <c r="AN88" s="354"/>
      <c r="AO88" s="24"/>
      <c r="AP88" s="356"/>
    </row>
    <row r="89" spans="1:42" x14ac:dyDescent="0.45">
      <c r="B89" s="34">
        <v>2027</v>
      </c>
      <c r="C89" s="35">
        <v>155000</v>
      </c>
      <c r="D89" s="67">
        <f t="shared" si="1"/>
        <v>170.68232563199999</v>
      </c>
      <c r="E89" s="191">
        <v>0.22</v>
      </c>
      <c r="F89" s="349">
        <v>2</v>
      </c>
      <c r="G89" s="48"/>
      <c r="H89" s="26">
        <f t="shared" si="2"/>
        <v>1424.5122001000007</v>
      </c>
      <c r="I89" s="192">
        <v>0.1</v>
      </c>
      <c r="J89" s="185">
        <f t="shared" si="6"/>
        <v>5.1055336289123975E-2</v>
      </c>
      <c r="K89" s="44">
        <f t="shared" si="7"/>
        <v>571.02468802720318</v>
      </c>
      <c r="L89" s="44">
        <f t="shared" si="8"/>
        <v>266.64238591313386</v>
      </c>
      <c r="M89" s="44">
        <f t="shared" si="9"/>
        <v>311.76648199074111</v>
      </c>
      <c r="N89" s="44">
        <f t="shared" si="10"/>
        <v>2059.2996573598953</v>
      </c>
      <c r="O89" s="44">
        <f t="shared" si="11"/>
        <v>118.9635260227828</v>
      </c>
      <c r="P89" s="44">
        <f t="shared" si="12"/>
        <v>28.551246245467869</v>
      </c>
      <c r="Q89" s="44">
        <f t="shared" si="13"/>
        <v>277.25452794819046</v>
      </c>
      <c r="R89" s="44">
        <f t="shared" si="14"/>
        <v>47.585410409113116</v>
      </c>
      <c r="S89" s="44">
        <f t="shared" si="15"/>
        <v>95.170820818226233</v>
      </c>
      <c r="T89" s="44">
        <f t="shared" si="16"/>
        <v>1206.0440224378669</v>
      </c>
      <c r="U89" s="44">
        <f t="shared" si="17"/>
        <v>33.309787286379184</v>
      </c>
      <c r="V89" s="44">
        <f t="shared" si="18"/>
        <v>28.551246245467869</v>
      </c>
      <c r="W89" s="298">
        <f t="shared" si="19"/>
        <v>23.444562922725442</v>
      </c>
      <c r="X89" s="52">
        <f t="shared" si="20"/>
        <v>10.41135962226975</v>
      </c>
      <c r="Y89" s="463">
        <f t="shared" si="21"/>
        <v>0.02</v>
      </c>
      <c r="Z89" s="142">
        <f t="shared" si="22"/>
        <v>11.68849967040779</v>
      </c>
      <c r="AA89" s="52">
        <f t="shared" si="23"/>
        <v>8.853928087417458</v>
      </c>
      <c r="AB89" s="44">
        <f t="shared" si="24"/>
        <v>139</v>
      </c>
      <c r="AC89" s="44">
        <f t="shared" si="25"/>
        <v>250</v>
      </c>
      <c r="AD89" s="34"/>
      <c r="AE89" s="121">
        <f>1.2*K89</f>
        <v>685.22962563264377</v>
      </c>
      <c r="AG89" s="47">
        <v>2027</v>
      </c>
      <c r="AH89" s="140">
        <v>0.21</v>
      </c>
      <c r="AI89" s="197">
        <f t="shared" si="3"/>
        <v>-0.34007544159762171</v>
      </c>
      <c r="AJ89" s="192">
        <v>0.15</v>
      </c>
      <c r="AK89" s="195">
        <f t="shared" si="4"/>
        <v>-0.234465253637023</v>
      </c>
      <c r="AL89" s="89">
        <v>0</v>
      </c>
      <c r="AM89" s="197">
        <f t="shared" si="5"/>
        <v>0</v>
      </c>
      <c r="AN89" s="354"/>
      <c r="AO89" s="24"/>
      <c r="AP89" s="356"/>
    </row>
    <row r="90" spans="1:42" x14ac:dyDescent="0.45">
      <c r="B90" s="34">
        <v>2028</v>
      </c>
      <c r="C90" s="35">
        <v>181250</v>
      </c>
      <c r="D90" s="67">
        <f t="shared" si="1"/>
        <v>206.52561401471999</v>
      </c>
      <c r="E90" s="191">
        <v>0.21</v>
      </c>
      <c r="F90" s="349">
        <v>4</v>
      </c>
      <c r="G90" s="48"/>
      <c r="H90" s="26">
        <f t="shared" si="2"/>
        <v>1566.9634201100009</v>
      </c>
      <c r="I90" s="192">
        <v>0.1</v>
      </c>
      <c r="J90" s="185">
        <f t="shared" si="6"/>
        <v>4.8016467287898296E-2</v>
      </c>
      <c r="K90" s="44">
        <f t="shared" si="7"/>
        <v>553.76999030897298</v>
      </c>
      <c r="L90" s="44">
        <f t="shared" si="8"/>
        <v>258.23260829683574</v>
      </c>
      <c r="M90" s="44">
        <f t="shared" si="9"/>
        <v>301.93351123937714</v>
      </c>
      <c r="N90" s="44">
        <f t="shared" si="10"/>
        <v>1994.3502979232542</v>
      </c>
      <c r="O90" s="44">
        <f t="shared" si="11"/>
        <v>115.21147139397286</v>
      </c>
      <c r="P90" s="44">
        <f t="shared" si="12"/>
        <v>27.650753134553483</v>
      </c>
      <c r="Q90" s="44">
        <f t="shared" si="13"/>
        <v>268.51004827677167</v>
      </c>
      <c r="R90" s="44">
        <f t="shared" si="14"/>
        <v>46.084588557589136</v>
      </c>
      <c r="S90" s="44">
        <f t="shared" si="15"/>
        <v>92.169177115178272</v>
      </c>
      <c r="T90" s="44">
        <f t="shared" si="16"/>
        <v>1168.00595137338</v>
      </c>
      <c r="U90" s="44">
        <f t="shared" si="17"/>
        <v>32.259211990312401</v>
      </c>
      <c r="V90" s="44">
        <f t="shared" si="18"/>
        <v>27.650753134553483</v>
      </c>
      <c r="W90" s="298">
        <f t="shared" si="19"/>
        <v>22.049117104687962</v>
      </c>
      <c r="X90" s="52">
        <f t="shared" si="20"/>
        <v>10.082990151651831</v>
      </c>
      <c r="Y90" s="463">
        <f t="shared" si="21"/>
        <v>0.02</v>
      </c>
      <c r="Z90" s="142">
        <f t="shared" si="22"/>
        <v>10.992787490233484</v>
      </c>
      <c r="AA90" s="52">
        <f t="shared" si="23"/>
        <v>8.5746792876031108</v>
      </c>
      <c r="AB90" s="44">
        <f t="shared" si="24"/>
        <v>139</v>
      </c>
      <c r="AC90" s="44">
        <f t="shared" si="25"/>
        <v>250</v>
      </c>
      <c r="AD90" s="34"/>
      <c r="AE90" s="121">
        <f>1.18*K90</f>
        <v>653.44858856458814</v>
      </c>
      <c r="AG90" s="47">
        <v>2028</v>
      </c>
      <c r="AH90" s="140">
        <v>0.2</v>
      </c>
      <c r="AI90" s="197">
        <f t="shared" si="3"/>
        <v>-0.32192809488736229</v>
      </c>
      <c r="AJ90" s="192">
        <v>0.11</v>
      </c>
      <c r="AK90" s="195">
        <f t="shared" si="4"/>
        <v>-0.16812275880832692</v>
      </c>
      <c r="AL90" s="89">
        <v>0</v>
      </c>
      <c r="AM90" s="197">
        <f t="shared" si="5"/>
        <v>0</v>
      </c>
      <c r="AN90" s="354"/>
      <c r="AO90" s="24"/>
      <c r="AP90" s="356"/>
    </row>
    <row r="91" spans="1:42" x14ac:dyDescent="0.45">
      <c r="B91" s="34">
        <v>2029</v>
      </c>
      <c r="C91" s="35">
        <v>206250</v>
      </c>
      <c r="D91" s="67">
        <f t="shared" si="1"/>
        <v>247.83073681766399</v>
      </c>
      <c r="E91" s="191">
        <v>0.2</v>
      </c>
      <c r="F91" s="349">
        <v>8</v>
      </c>
      <c r="G91" s="48"/>
      <c r="H91" s="26">
        <f t="shared" si="2"/>
        <v>1723.6597621210012</v>
      </c>
      <c r="I91" s="192">
        <v>0.1</v>
      </c>
      <c r="J91" s="185">
        <f t="shared" si="6"/>
        <v>4.542747686656752E-2</v>
      </c>
      <c r="K91" s="44">
        <f t="shared" si="7"/>
        <v>537.95479703691944</v>
      </c>
      <c r="L91" s="44">
        <f t="shared" si="8"/>
        <v>250.43724199222683</v>
      </c>
      <c r="M91" s="44">
        <f t="shared" si="9"/>
        <v>292.81892909860363</v>
      </c>
      <c r="N91" s="44">
        <f t="shared" si="10"/>
        <v>1934.1460843091977</v>
      </c>
      <c r="O91" s="44">
        <f t="shared" si="11"/>
        <v>111.7335387349935</v>
      </c>
      <c r="P91" s="44">
        <f t="shared" si="12"/>
        <v>26.816049296398436</v>
      </c>
      <c r="Q91" s="44">
        <f t="shared" si="13"/>
        <v>260.40443296896507</v>
      </c>
      <c r="R91" s="44">
        <f t="shared" si="14"/>
        <v>44.693415493997392</v>
      </c>
      <c r="S91" s="44">
        <f t="shared" si="15"/>
        <v>89.386830987994784</v>
      </c>
      <c r="T91" s="44">
        <f t="shared" si="16"/>
        <v>1132.7469099340719</v>
      </c>
      <c r="U91" s="44">
        <f t="shared" si="17"/>
        <v>31.285390845798183</v>
      </c>
      <c r="V91" s="44">
        <f t="shared" si="18"/>
        <v>26.816049296398436</v>
      </c>
      <c r="W91" s="298">
        <f t="shared" si="19"/>
        <v>20.860255111976873</v>
      </c>
      <c r="X91" s="52">
        <f t="shared" si="20"/>
        <v>9.778611079634949</v>
      </c>
      <c r="Y91" s="463">
        <f t="shared" si="21"/>
        <v>0.02</v>
      </c>
      <c r="Z91" s="142">
        <f t="shared" si="22"/>
        <v>10.400069551504323</v>
      </c>
      <c r="AA91" s="52">
        <f t="shared" si="23"/>
        <v>8.3158321713064183</v>
      </c>
      <c r="AB91" s="44">
        <f t="shared" si="24"/>
        <v>139</v>
      </c>
      <c r="AC91" s="44">
        <f t="shared" si="25"/>
        <v>250</v>
      </c>
      <c r="AD91" s="34"/>
      <c r="AE91" s="121">
        <f>1.16*K91</f>
        <v>624.02756456282657</v>
      </c>
      <c r="AG91" s="47">
        <v>2029</v>
      </c>
      <c r="AH91" s="140">
        <v>0.19</v>
      </c>
      <c r="AI91" s="197">
        <f t="shared" si="3"/>
        <v>-0.30400618689009984</v>
      </c>
      <c r="AJ91" s="192">
        <v>0.11</v>
      </c>
      <c r="AK91" s="195">
        <f t="shared" si="4"/>
        <v>-0.16812275880832692</v>
      </c>
      <c r="AL91" s="89">
        <v>0</v>
      </c>
      <c r="AM91" s="197">
        <f t="shared" si="5"/>
        <v>0</v>
      </c>
      <c r="AN91" s="354"/>
      <c r="AO91" s="24"/>
      <c r="AP91" s="356"/>
    </row>
    <row r="92" spans="1:42" x14ac:dyDescent="0.45">
      <c r="B92" s="431">
        <v>2030</v>
      </c>
      <c r="C92" s="35">
        <v>232500</v>
      </c>
      <c r="D92" s="67">
        <f t="shared" si="1"/>
        <v>292.44026944484347</v>
      </c>
      <c r="E92" s="191">
        <v>0.18</v>
      </c>
      <c r="F92" s="349">
        <v>12</v>
      </c>
      <c r="G92" s="48"/>
      <c r="H92" s="26">
        <f t="shared" si="2"/>
        <v>1896.0257383331016</v>
      </c>
      <c r="I92" s="192">
        <v>0.1</v>
      </c>
      <c r="J92" s="185">
        <f t="shared" si="6"/>
        <v>4.3324992516074086E-2</v>
      </c>
      <c r="K92" s="44">
        <f t="shared" si="7"/>
        <v>523.47372230901999</v>
      </c>
      <c r="L92" s="44">
        <f t="shared" si="8"/>
        <v>243.56445607028775</v>
      </c>
      <c r="M92" s="44">
        <f t="shared" si="9"/>
        <v>284.78305632833639</v>
      </c>
      <c r="N92" s="44">
        <f t="shared" si="10"/>
        <v>1881.0670299582221</v>
      </c>
      <c r="O92" s="44">
        <f t="shared" si="11"/>
        <v>108.66721886212837</v>
      </c>
      <c r="P92" s="44">
        <f t="shared" si="12"/>
        <v>26.080132526910806</v>
      </c>
      <c r="Q92" s="44">
        <f t="shared" si="13"/>
        <v>253.25811596482242</v>
      </c>
      <c r="R92" s="44">
        <f t="shared" si="14"/>
        <v>43.466887544851339</v>
      </c>
      <c r="S92" s="44">
        <f t="shared" si="15"/>
        <v>86.933775089702678</v>
      </c>
      <c r="T92" s="44">
        <f t="shared" si="16"/>
        <v>1101.6607705333013</v>
      </c>
      <c r="U92" s="44">
        <f t="shared" si="17"/>
        <v>30.426821281395945</v>
      </c>
      <c r="V92" s="44">
        <f t="shared" si="18"/>
        <v>26.080132526910806</v>
      </c>
      <c r="W92" s="298">
        <f t="shared" si="19"/>
        <v>19.894796254355182</v>
      </c>
      <c r="X92" s="52">
        <f t="shared" si="20"/>
        <v>9.5102552231752355</v>
      </c>
      <c r="Y92" s="463">
        <f t="shared" si="21"/>
        <v>0.02</v>
      </c>
      <c r="Z92" s="142">
        <f t="shared" si="22"/>
        <v>9.9187312737851521</v>
      </c>
      <c r="AA92" s="52">
        <f t="shared" si="23"/>
        <v>8.0876195707302756</v>
      </c>
      <c r="AB92" s="44">
        <f t="shared" si="24"/>
        <v>139</v>
      </c>
      <c r="AC92" s="44">
        <f t="shared" si="25"/>
        <v>250</v>
      </c>
      <c r="AD92" s="34"/>
      <c r="AE92" s="121">
        <f>1.14*K92</f>
        <v>596.76004343228271</v>
      </c>
      <c r="AG92" s="47">
        <v>2030</v>
      </c>
      <c r="AH92" s="140">
        <v>0.18</v>
      </c>
      <c r="AI92" s="197">
        <f t="shared" si="3"/>
        <v>-0.28630418515664091</v>
      </c>
      <c r="AJ92" s="192">
        <v>0.11</v>
      </c>
      <c r="AK92" s="195">
        <f t="shared" si="4"/>
        <v>-0.16812275880832692</v>
      </c>
      <c r="AL92" s="89">
        <v>0</v>
      </c>
      <c r="AM92" s="197">
        <f t="shared" si="5"/>
        <v>0</v>
      </c>
      <c r="AN92" s="47"/>
      <c r="AO92" s="48"/>
      <c r="AP92" s="34"/>
    </row>
    <row r="93" spans="1:42" x14ac:dyDescent="0.45">
      <c r="A93" t="s">
        <v>305</v>
      </c>
      <c r="B93" s="34">
        <v>2031</v>
      </c>
      <c r="C93" s="35"/>
      <c r="D93" s="67">
        <f t="shared" si="1"/>
        <v>339.23071255601837</v>
      </c>
      <c r="E93" s="191">
        <v>0.16</v>
      </c>
      <c r="F93" s="349">
        <f t="shared" ref="F93:F112" si="26">(1+G93)*F92</f>
        <v>15.600000000000001</v>
      </c>
      <c r="G93" s="191">
        <v>0.3</v>
      </c>
      <c r="H93" s="26">
        <f t="shared" si="2"/>
        <v>2085.6283121664119</v>
      </c>
      <c r="I93" s="192">
        <v>0.1</v>
      </c>
      <c r="J93" s="185">
        <f t="shared" si="6"/>
        <v>4.163045031388897E-2</v>
      </c>
      <c r="K93" s="44">
        <f t="shared" si="7"/>
        <v>510.23217096121755</v>
      </c>
      <c r="L93" s="44">
        <f t="shared" si="8"/>
        <v>237.56204546637386</v>
      </c>
      <c r="M93" s="44">
        <f t="shared" si="9"/>
        <v>277.76485316068323</v>
      </c>
      <c r="N93" s="44">
        <f t="shared" si="10"/>
        <v>1834.7099511403026</v>
      </c>
      <c r="O93" s="44">
        <f t="shared" si="11"/>
        <v>105.98922028499756</v>
      </c>
      <c r="P93" s="44">
        <f t="shared" si="12"/>
        <v>25.437412868399409</v>
      </c>
      <c r="Q93" s="44">
        <f t="shared" si="13"/>
        <v>247.01681448216348</v>
      </c>
      <c r="R93" s="44">
        <f t="shared" si="14"/>
        <v>42.395688113999014</v>
      </c>
      <c r="S93" s="44">
        <f t="shared" si="15"/>
        <v>84.791376227998029</v>
      </c>
      <c r="T93" s="44">
        <f t="shared" si="16"/>
        <v>1074.511405647906</v>
      </c>
      <c r="U93" s="44">
        <f t="shared" si="17"/>
        <v>29.676981679799319</v>
      </c>
      <c r="V93" s="44">
        <f t="shared" si="18"/>
        <v>25.437412868399409</v>
      </c>
      <c r="W93" s="298">
        <f t="shared" si="19"/>
        <v>19.116664051692446</v>
      </c>
      <c r="X93" s="52">
        <f t="shared" si="20"/>
        <v>9.2758841752870289</v>
      </c>
      <c r="Y93" s="463">
        <f t="shared" si="21"/>
        <v>0.02</v>
      </c>
      <c r="Z93" s="142">
        <f t="shared" si="22"/>
        <v>9.530786400411511</v>
      </c>
      <c r="AA93" s="52">
        <f t="shared" si="23"/>
        <v>7.8883080034555997</v>
      </c>
      <c r="AB93" s="44">
        <f t="shared" si="24"/>
        <v>139</v>
      </c>
      <c r="AC93" s="44">
        <f t="shared" si="25"/>
        <v>250</v>
      </c>
      <c r="AD93" s="121"/>
      <c r="AE93" s="121">
        <f>1.12*K93</f>
        <v>571.4600314765637</v>
      </c>
      <c r="AG93" s="47">
        <v>2031</v>
      </c>
      <c r="AH93" s="140">
        <v>0.17</v>
      </c>
      <c r="AI93" s="197">
        <f t="shared" si="3"/>
        <v>-0.26881675842780001</v>
      </c>
      <c r="AJ93" s="192">
        <v>0.11</v>
      </c>
      <c r="AK93" s="195">
        <f t="shared" si="4"/>
        <v>-0.16812275880832692</v>
      </c>
      <c r="AL93" s="89">
        <v>0</v>
      </c>
      <c r="AM93" s="197">
        <f t="shared" si="5"/>
        <v>0</v>
      </c>
      <c r="AN93" s="47"/>
      <c r="AO93" s="48"/>
      <c r="AP93" s="34"/>
    </row>
    <row r="94" spans="1:42" x14ac:dyDescent="0.45">
      <c r="B94" s="34">
        <v>2032</v>
      </c>
      <c r="C94" s="35"/>
      <c r="D94" s="67">
        <f t="shared" si="1"/>
        <v>386.72301231386098</v>
      </c>
      <c r="E94" s="191">
        <v>0.14000000000000001</v>
      </c>
      <c r="F94" s="349">
        <f t="shared" si="26"/>
        <v>20.28</v>
      </c>
      <c r="G94" s="191">
        <v>0.3</v>
      </c>
      <c r="H94" s="26">
        <f t="shared" si="2"/>
        <v>2294.1911433830533</v>
      </c>
      <c r="I94" s="192">
        <v>0.1</v>
      </c>
      <c r="J94" s="185">
        <f t="shared" si="6"/>
        <v>4.0280729992315141E-2</v>
      </c>
      <c r="K94" s="44">
        <f t="shared" si="7"/>
        <v>498.1452266037183</v>
      </c>
      <c r="L94" s="44">
        <f t="shared" si="8"/>
        <v>232.38605072252165</v>
      </c>
      <c r="M94" s="44">
        <f t="shared" si="9"/>
        <v>271.7129208447945</v>
      </c>
      <c r="N94" s="44">
        <f t="shared" si="10"/>
        <v>1794.7353455800901</v>
      </c>
      <c r="O94" s="44">
        <f t="shared" si="11"/>
        <v>103.6799303223558</v>
      </c>
      <c r="P94" s="44">
        <f t="shared" si="12"/>
        <v>24.88318327736539</v>
      </c>
      <c r="Q94" s="44">
        <f t="shared" si="13"/>
        <v>241.63481951367947</v>
      </c>
      <c r="R94" s="44">
        <f t="shared" si="14"/>
        <v>41.471972128942312</v>
      </c>
      <c r="S94" s="44">
        <f t="shared" si="15"/>
        <v>82.943944257884624</v>
      </c>
      <c r="T94" s="44">
        <f t="shared" si="16"/>
        <v>1051.0999832680207</v>
      </c>
      <c r="U94" s="44">
        <f t="shared" si="17"/>
        <v>29.030380490259628</v>
      </c>
      <c r="V94" s="44">
        <f t="shared" si="18"/>
        <v>24.88318327736539</v>
      </c>
      <c r="W94" s="298">
        <f t="shared" si="19"/>
        <v>18.49687373578849</v>
      </c>
      <c r="X94" s="52">
        <f t="shared" si="20"/>
        <v>9.0737814882116918</v>
      </c>
      <c r="Y94" s="463">
        <f t="shared" si="21"/>
        <v>0.02</v>
      </c>
      <c r="Z94" s="142">
        <f t="shared" si="22"/>
        <v>9.2217843120789915</v>
      </c>
      <c r="AA94" s="52">
        <f t="shared" si="23"/>
        <v>7.716437784525561</v>
      </c>
      <c r="AB94" s="44">
        <f t="shared" si="24"/>
        <v>139</v>
      </c>
      <c r="AC94" s="44">
        <f t="shared" si="25"/>
        <v>250</v>
      </c>
      <c r="AD94" s="121"/>
      <c r="AE94" s="121">
        <f>1.1*K94</f>
        <v>547.95974926409019</v>
      </c>
      <c r="AG94" s="47">
        <v>2032</v>
      </c>
      <c r="AH94" s="140">
        <v>0.16</v>
      </c>
      <c r="AI94" s="197">
        <f t="shared" si="3"/>
        <v>-0.25153876699596445</v>
      </c>
      <c r="AJ94" s="192">
        <v>0.11</v>
      </c>
      <c r="AK94" s="195">
        <f t="shared" si="4"/>
        <v>-0.16812275880832692</v>
      </c>
      <c r="AL94" s="89">
        <v>0</v>
      </c>
      <c r="AM94" s="197">
        <f t="shared" si="5"/>
        <v>0</v>
      </c>
      <c r="AN94" s="47"/>
      <c r="AO94" s="48"/>
      <c r="AP94" s="34"/>
    </row>
    <row r="95" spans="1:42" x14ac:dyDescent="0.45">
      <c r="B95" s="34">
        <v>2033</v>
      </c>
      <c r="C95" s="35"/>
      <c r="D95" s="67">
        <f t="shared" si="1"/>
        <v>433.12977379152431</v>
      </c>
      <c r="E95" s="191">
        <v>0.12</v>
      </c>
      <c r="F95" s="349">
        <f t="shared" si="26"/>
        <v>26.364000000000001</v>
      </c>
      <c r="G95" s="191">
        <v>0.3</v>
      </c>
      <c r="H95" s="26">
        <f t="shared" si="2"/>
        <v>2523.6102577213587</v>
      </c>
      <c r="I95" s="192">
        <v>0.1</v>
      </c>
      <c r="J95" s="185">
        <f t="shared" si="6"/>
        <v>3.9224500004835398E-2</v>
      </c>
      <c r="K95" s="44">
        <f t="shared" si="7"/>
        <v>487.13667411837048</v>
      </c>
      <c r="L95" s="44">
        <f t="shared" si="8"/>
        <v>229.23947811898671</v>
      </c>
      <c r="M95" s="44">
        <f t="shared" si="9"/>
        <v>268.03385133912292</v>
      </c>
      <c r="N95" s="44">
        <f t="shared" si="10"/>
        <v>1770.4341233189434</v>
      </c>
      <c r="O95" s="44">
        <f t="shared" si="11"/>
        <v>102.27607485308637</v>
      </c>
      <c r="P95" s="44">
        <f t="shared" si="12"/>
        <v>24.546257964740729</v>
      </c>
      <c r="Q95" s="44">
        <f t="shared" si="13"/>
        <v>238.36301597479277</v>
      </c>
      <c r="R95" s="44">
        <f t="shared" si="14"/>
        <v>40.91042994123454</v>
      </c>
      <c r="S95" s="44">
        <f t="shared" si="15"/>
        <v>81.82085988246908</v>
      </c>
      <c r="T95" s="44">
        <f t="shared" si="16"/>
        <v>1036.8677933381857</v>
      </c>
      <c r="U95" s="44">
        <f t="shared" si="17"/>
        <v>28.637300958864188</v>
      </c>
      <c r="V95" s="44">
        <f t="shared" si="18"/>
        <v>24.546257964740729</v>
      </c>
      <c r="W95" s="298">
        <f t="shared" si="19"/>
        <v>18.011853908240838</v>
      </c>
      <c r="X95" s="52">
        <f t="shared" si="20"/>
        <v>8.9509199302459752</v>
      </c>
      <c r="Y95" s="463">
        <f t="shared" si="21"/>
        <v>0.02</v>
      </c>
      <c r="Z95" s="142">
        <f t="shared" si="22"/>
        <v>8.9799732741373663</v>
      </c>
      <c r="AA95" s="52">
        <f t="shared" si="23"/>
        <v>7.6119550427509202</v>
      </c>
      <c r="AB95" s="44">
        <f t="shared" si="24"/>
        <v>139</v>
      </c>
      <c r="AC95" s="44">
        <f t="shared" si="25"/>
        <v>250</v>
      </c>
      <c r="AD95" s="121"/>
      <c r="AE95" s="121">
        <f>1.08*K95</f>
        <v>526.10760804784013</v>
      </c>
      <c r="AG95" s="47">
        <v>2033</v>
      </c>
      <c r="AH95" s="140">
        <v>0.15</v>
      </c>
      <c r="AI95" s="197">
        <f t="shared" si="3"/>
        <v>-0.234465253637023</v>
      </c>
      <c r="AJ95" s="192">
        <v>0.08</v>
      </c>
      <c r="AK95" s="195">
        <f t="shared" si="4"/>
        <v>-0.12029423371771177</v>
      </c>
      <c r="AL95" s="89">
        <v>0</v>
      </c>
      <c r="AM95" s="197">
        <f t="shared" si="5"/>
        <v>0</v>
      </c>
      <c r="AN95" s="47"/>
      <c r="AO95" s="48"/>
      <c r="AP95" s="34"/>
    </row>
    <row r="96" spans="1:42" x14ac:dyDescent="0.45">
      <c r="B96" s="34">
        <v>2034</v>
      </c>
      <c r="C96" s="35"/>
      <c r="D96" s="67">
        <f t="shared" si="1"/>
        <v>476.44275117067679</v>
      </c>
      <c r="E96" s="191">
        <v>0.1</v>
      </c>
      <c r="F96" s="349">
        <f t="shared" si="26"/>
        <v>33.745919999999998</v>
      </c>
      <c r="G96" s="191">
        <v>0.28000000000000003</v>
      </c>
      <c r="H96" s="26">
        <f t="shared" si="2"/>
        <v>2775.9712834934949</v>
      </c>
      <c r="I96" s="192">
        <v>0.1</v>
      </c>
      <c r="J96" s="185">
        <f t="shared" si="6"/>
        <v>3.8419412775821511E-2</v>
      </c>
      <c r="K96" s="44">
        <f t="shared" si="7"/>
        <v>477.13813965474054</v>
      </c>
      <c r="L96" s="44">
        <f t="shared" si="8"/>
        <v>226.62619635435874</v>
      </c>
      <c r="M96" s="44">
        <f t="shared" si="9"/>
        <v>264.97832189125023</v>
      </c>
      <c r="N96" s="44">
        <f t="shared" si="10"/>
        <v>1750.2515472290474</v>
      </c>
      <c r="O96" s="44">
        <f t="shared" si="11"/>
        <v>101.11014914271389</v>
      </c>
      <c r="P96" s="44">
        <f t="shared" si="12"/>
        <v>24.266435794251336</v>
      </c>
      <c r="Q96" s="44">
        <f t="shared" si="13"/>
        <v>235.64572780034786</v>
      </c>
      <c r="R96" s="44">
        <f t="shared" si="14"/>
        <v>40.444059657085553</v>
      </c>
      <c r="S96" s="44">
        <f t="shared" si="15"/>
        <v>80.888119314171107</v>
      </c>
      <c r="T96" s="44">
        <f t="shared" si="16"/>
        <v>1025.0477188950993</v>
      </c>
      <c r="U96" s="44">
        <f t="shared" si="17"/>
        <v>28.310841759959896</v>
      </c>
      <c r="V96" s="44">
        <f t="shared" si="18"/>
        <v>24.266435794251336</v>
      </c>
      <c r="W96" s="298">
        <f t="shared" si="19"/>
        <v>17.642158601720652</v>
      </c>
      <c r="X96" s="52">
        <f t="shared" si="20"/>
        <v>8.8488813284209638</v>
      </c>
      <c r="Y96" s="463">
        <f t="shared" si="21"/>
        <v>0.02</v>
      </c>
      <c r="Z96" s="142">
        <f t="shared" si="22"/>
        <v>8.7956583230480518</v>
      </c>
      <c r="AA96" s="52">
        <f t="shared" si="23"/>
        <v>7.5251803586100685</v>
      </c>
      <c r="AB96" s="44">
        <f t="shared" si="24"/>
        <v>139</v>
      </c>
      <c r="AC96" s="44">
        <f t="shared" si="25"/>
        <v>250</v>
      </c>
      <c r="AD96" s="121"/>
      <c r="AE96" s="121">
        <f>1.06*K96</f>
        <v>505.76642803402501</v>
      </c>
      <c r="AG96" s="47">
        <v>2034</v>
      </c>
      <c r="AH96" s="140">
        <v>0.14000000000000001</v>
      </c>
      <c r="AI96" s="197">
        <f t="shared" si="3"/>
        <v>-0.21759143507262677</v>
      </c>
      <c r="AJ96" s="192">
        <v>0.08</v>
      </c>
      <c r="AK96" s="195">
        <f t="shared" si="4"/>
        <v>-0.12029423371771177</v>
      </c>
      <c r="AL96" s="89">
        <v>0</v>
      </c>
      <c r="AM96" s="197">
        <f t="shared" si="5"/>
        <v>0</v>
      </c>
      <c r="AN96" s="47"/>
      <c r="AO96" s="48"/>
      <c r="AP96" s="34"/>
    </row>
    <row r="97" spans="1:42" x14ac:dyDescent="0.45">
      <c r="B97" s="132">
        <v>2035</v>
      </c>
      <c r="C97" s="106"/>
      <c r="D97" s="469">
        <f t="shared" si="1"/>
        <v>519.32259877603769</v>
      </c>
      <c r="E97" s="470">
        <v>0.09</v>
      </c>
      <c r="F97" s="471">
        <f t="shared" si="26"/>
        <v>42.519859199999999</v>
      </c>
      <c r="G97" s="470">
        <v>0.26</v>
      </c>
      <c r="H97" s="472">
        <f t="shared" si="2"/>
        <v>3025.8086990079096</v>
      </c>
      <c r="I97" s="473">
        <v>0.09</v>
      </c>
      <c r="J97" s="474">
        <f t="shared" si="6"/>
        <v>3.7759937261904804E-2</v>
      </c>
      <c r="K97" s="475">
        <f t="shared" si="7"/>
        <v>468.94798532588266</v>
      </c>
      <c r="L97" s="475">
        <f t="shared" si="8"/>
        <v>224.28897067898882</v>
      </c>
      <c r="M97" s="475">
        <f t="shared" si="9"/>
        <v>262.24556571697156</v>
      </c>
      <c r="N97" s="475">
        <f t="shared" si="10"/>
        <v>1732.2009735515751</v>
      </c>
      <c r="O97" s="475">
        <f t="shared" si="11"/>
        <v>100.06738691831808</v>
      </c>
      <c r="P97" s="475">
        <f t="shared" si="12"/>
        <v>24.016172860396342</v>
      </c>
      <c r="Q97" s="475">
        <f t="shared" si="13"/>
        <v>233.2154825146483</v>
      </c>
      <c r="R97" s="475">
        <f t="shared" si="14"/>
        <v>40.026954767327233</v>
      </c>
      <c r="S97" s="475">
        <f t="shared" si="15"/>
        <v>80.053909534654466</v>
      </c>
      <c r="T97" s="475">
        <f t="shared" si="16"/>
        <v>1014.4762673788107</v>
      </c>
      <c r="U97" s="475">
        <f t="shared" si="17"/>
        <v>28.018868337129071</v>
      </c>
      <c r="V97" s="475">
        <f t="shared" si="18"/>
        <v>24.016172860396342</v>
      </c>
      <c r="W97" s="601">
        <f t="shared" si="19"/>
        <v>17.339328059297792</v>
      </c>
      <c r="X97" s="52">
        <f t="shared" si="20"/>
        <v>8.7576216551272896</v>
      </c>
      <c r="Y97" s="692">
        <f t="shared" si="21"/>
        <v>0.02</v>
      </c>
      <c r="Z97" s="603">
        <f t="shared" si="22"/>
        <v>8.6446794070850697</v>
      </c>
      <c r="AA97" s="693">
        <f t="shared" si="23"/>
        <v>7.4475721869650231</v>
      </c>
      <c r="AB97" s="475">
        <f t="shared" si="24"/>
        <v>139</v>
      </c>
      <c r="AC97" s="475">
        <f t="shared" si="25"/>
        <v>250</v>
      </c>
      <c r="AD97" s="475">
        <f>(Calculations!H34+Calculations!H35)</f>
        <v>892.5</v>
      </c>
      <c r="AE97" s="475">
        <f>1.04*K97</f>
        <v>487.70590473891798</v>
      </c>
      <c r="AF97" s="88"/>
      <c r="AG97" s="476">
        <v>2035</v>
      </c>
      <c r="AH97" s="477">
        <v>0.13</v>
      </c>
      <c r="AI97" s="478">
        <f t="shared" si="3"/>
        <v>-0.20091269392599639</v>
      </c>
      <c r="AJ97" s="473">
        <v>0.08</v>
      </c>
      <c r="AK97" s="479">
        <f t="shared" si="4"/>
        <v>-0.12029423371771177</v>
      </c>
      <c r="AL97" s="480">
        <v>0</v>
      </c>
      <c r="AM97" s="478">
        <f t="shared" si="5"/>
        <v>0</v>
      </c>
      <c r="AN97" s="481">
        <v>0.2</v>
      </c>
      <c r="AO97" s="478">
        <f t="shared" ref="AO97:AO112" si="27">LOG(1-AN97)/LOG(2)</f>
        <v>-0.32192809488736229</v>
      </c>
      <c r="AP97" s="482">
        <v>1</v>
      </c>
    </row>
    <row r="98" spans="1:42" x14ac:dyDescent="0.45">
      <c r="B98" s="34">
        <v>2036</v>
      </c>
      <c r="C98" s="35"/>
      <c r="D98" s="67">
        <f t="shared" si="1"/>
        <v>566.06163266588112</v>
      </c>
      <c r="E98" s="191">
        <v>0.09</v>
      </c>
      <c r="F98" s="349">
        <f t="shared" si="26"/>
        <v>53.149823999999995</v>
      </c>
      <c r="G98" s="191">
        <v>0.25</v>
      </c>
      <c r="H98" s="26">
        <f t="shared" si="2"/>
        <v>3298.1314819186218</v>
      </c>
      <c r="I98" s="192">
        <v>0.09</v>
      </c>
      <c r="J98" s="185">
        <f t="shared" si="6"/>
        <v>3.7164551678768101E-2</v>
      </c>
      <c r="K98" s="44">
        <f t="shared" si="7"/>
        <v>461.55377627920302</v>
      </c>
      <c r="L98" s="44">
        <f t="shared" si="8"/>
        <v>221.97584911843654</v>
      </c>
      <c r="M98" s="44">
        <f t="shared" si="9"/>
        <v>259.54099281540272</v>
      </c>
      <c r="N98" s="44">
        <f t="shared" si="10"/>
        <v>1714.336557807002</v>
      </c>
      <c r="O98" s="44">
        <f t="shared" si="11"/>
        <v>99.035378837456292</v>
      </c>
      <c r="P98" s="44">
        <f t="shared" si="12"/>
        <v>23.768490920989514</v>
      </c>
      <c r="Q98" s="44">
        <f t="shared" si="13"/>
        <v>230.81030066720325</v>
      </c>
      <c r="R98" s="44">
        <f t="shared" si="14"/>
        <v>39.614151534982518</v>
      </c>
      <c r="S98" s="44">
        <f t="shared" si="15"/>
        <v>79.228303069965037</v>
      </c>
      <c r="T98" s="44">
        <f t="shared" si="16"/>
        <v>1004.0138406280049</v>
      </c>
      <c r="U98" s="44">
        <f t="shared" si="17"/>
        <v>27.729906074487769</v>
      </c>
      <c r="V98" s="44">
        <f t="shared" si="18"/>
        <v>23.768490920989514</v>
      </c>
      <c r="W98" s="298">
        <f t="shared" si="19"/>
        <v>17.06592755346065</v>
      </c>
      <c r="X98" s="52">
        <f t="shared" si="20"/>
        <v>8.66730315480911</v>
      </c>
      <c r="Y98" s="463">
        <f t="shared" si="21"/>
        <v>0.02</v>
      </c>
      <c r="Z98" s="142">
        <f t="shared" si="22"/>
        <v>8.508373103022171</v>
      </c>
      <c r="AA98" s="52">
        <f t="shared" si="23"/>
        <v>7.3707643985691575</v>
      </c>
      <c r="AB98" s="44">
        <f t="shared" si="24"/>
        <v>139</v>
      </c>
      <c r="AC98" s="44">
        <f t="shared" si="25"/>
        <v>250</v>
      </c>
      <c r="AD98" s="121">
        <f t="shared" ref="AD98:AD112" si="28">AP98*$AD$97</f>
        <v>820.21301903071753</v>
      </c>
      <c r="AE98" s="121">
        <f>1.02*K98</f>
        <v>470.78485180478708</v>
      </c>
      <c r="AG98" s="47">
        <v>2036</v>
      </c>
      <c r="AH98" s="140">
        <v>0.12</v>
      </c>
      <c r="AI98" s="197">
        <f t="shared" si="3"/>
        <v>-0.18442457113742744</v>
      </c>
      <c r="AJ98" s="192">
        <v>0.08</v>
      </c>
      <c r="AK98" s="195">
        <f t="shared" si="4"/>
        <v>-0.12029423371771177</v>
      </c>
      <c r="AL98" s="89">
        <v>0</v>
      </c>
      <c r="AM98" s="197">
        <f t="shared" si="5"/>
        <v>0</v>
      </c>
      <c r="AN98" s="354">
        <v>0.2</v>
      </c>
      <c r="AO98" s="197">
        <f t="shared" si="27"/>
        <v>-0.32192809488736229</v>
      </c>
      <c r="AP98" s="356">
        <f t="shared" ref="AP98:AP112" si="29">(F93/F92)^AO98*AP97</f>
        <v>0.91900618378791876</v>
      </c>
    </row>
    <row r="99" spans="1:42" x14ac:dyDescent="0.45">
      <c r="B99" s="34">
        <v>2037</v>
      </c>
      <c r="C99" s="35"/>
      <c r="D99" s="67">
        <f t="shared" si="1"/>
        <v>611.34656327915161</v>
      </c>
      <c r="E99" s="191">
        <v>0.08</v>
      </c>
      <c r="F99" s="349">
        <f t="shared" si="26"/>
        <v>65.905781759999996</v>
      </c>
      <c r="G99" s="191">
        <v>0.24</v>
      </c>
      <c r="H99" s="26">
        <f t="shared" si="2"/>
        <v>3561.9820004721118</v>
      </c>
      <c r="I99" s="192">
        <v>0.08</v>
      </c>
      <c r="J99" s="185">
        <f t="shared" si="6"/>
        <v>3.6686780747292431E-2</v>
      </c>
      <c r="K99" s="44">
        <f t="shared" si="7"/>
        <v>455.62024640576163</v>
      </c>
      <c r="L99" s="44">
        <f t="shared" si="8"/>
        <v>219.93028697067484</v>
      </c>
      <c r="M99" s="44">
        <f t="shared" si="9"/>
        <v>257.14925861186595</v>
      </c>
      <c r="N99" s="44">
        <f t="shared" si="10"/>
        <v>1698.538523988904</v>
      </c>
      <c r="O99" s="44">
        <f t="shared" si="11"/>
        <v>98.122743417685697</v>
      </c>
      <c r="P99" s="44">
        <f t="shared" si="12"/>
        <v>23.549458420244569</v>
      </c>
      <c r="Q99" s="44">
        <f t="shared" si="13"/>
        <v>228.68332687148003</v>
      </c>
      <c r="R99" s="44">
        <f t="shared" si="14"/>
        <v>39.249097367074278</v>
      </c>
      <c r="S99" s="44">
        <f t="shared" si="15"/>
        <v>78.498194734148555</v>
      </c>
      <c r="T99" s="44">
        <f t="shared" si="16"/>
        <v>994.76160568274429</v>
      </c>
      <c r="U99" s="44">
        <f t="shared" si="17"/>
        <v>27.474368156952</v>
      </c>
      <c r="V99" s="44">
        <f t="shared" si="18"/>
        <v>23.549458420244569</v>
      </c>
      <c r="W99" s="298">
        <f t="shared" si="19"/>
        <v>16.846535586239067</v>
      </c>
      <c r="X99" s="52">
        <f t="shared" si="20"/>
        <v>8.5874318204857385</v>
      </c>
      <c r="Y99" s="463">
        <f t="shared" si="21"/>
        <v>0.02</v>
      </c>
      <c r="Z99" s="142">
        <f t="shared" si="22"/>
        <v>8.3989932461653005</v>
      </c>
      <c r="AA99" s="52">
        <f t="shared" si="23"/>
        <v>7.30284098837088</v>
      </c>
      <c r="AB99" s="44">
        <f t="shared" si="24"/>
        <v>139</v>
      </c>
      <c r="AC99" s="44">
        <f t="shared" si="25"/>
        <v>250</v>
      </c>
      <c r="AD99" s="121">
        <f t="shared" si="28"/>
        <v>753.78083651258726</v>
      </c>
      <c r="AE99" s="121">
        <f>K99</f>
        <v>455.62024640576163</v>
      </c>
      <c r="AG99" s="47">
        <v>2037</v>
      </c>
      <c r="AH99" s="140">
        <v>0.11</v>
      </c>
      <c r="AI99" s="197">
        <f t="shared" si="3"/>
        <v>-0.16812275880832692</v>
      </c>
      <c r="AJ99" s="192">
        <v>0.08</v>
      </c>
      <c r="AK99" s="195">
        <f t="shared" si="4"/>
        <v>-0.12029423371771177</v>
      </c>
      <c r="AL99" s="89">
        <v>0</v>
      </c>
      <c r="AM99" s="197">
        <f t="shared" si="5"/>
        <v>0</v>
      </c>
      <c r="AN99" s="354">
        <v>0.2</v>
      </c>
      <c r="AO99" s="197">
        <f t="shared" si="27"/>
        <v>-0.32192809488736229</v>
      </c>
      <c r="AP99" s="356">
        <f t="shared" si="29"/>
        <v>0.84457236584043394</v>
      </c>
    </row>
    <row r="100" spans="1:42" x14ac:dyDescent="0.45">
      <c r="B100" s="34">
        <v>2038</v>
      </c>
      <c r="C100" s="35"/>
      <c r="D100" s="67">
        <f t="shared" si="1"/>
        <v>660.25428834148374</v>
      </c>
      <c r="E100" s="191">
        <v>0.08</v>
      </c>
      <c r="F100" s="349">
        <f t="shared" si="26"/>
        <v>80.4050537472</v>
      </c>
      <c r="G100" s="191">
        <v>0.22</v>
      </c>
      <c r="H100" s="26">
        <f t="shared" si="2"/>
        <v>3846.9405605098809</v>
      </c>
      <c r="I100" s="192">
        <v>0.08</v>
      </c>
      <c r="J100" s="185">
        <f t="shared" si="6"/>
        <v>3.6260107724927722E-2</v>
      </c>
      <c r="K100" s="44">
        <f t="shared" si="7"/>
        <v>450.32131137726782</v>
      </c>
      <c r="L100" s="44">
        <f t="shared" si="8"/>
        <v>218.68130834682438</v>
      </c>
      <c r="M100" s="44">
        <f t="shared" si="9"/>
        <v>255.68891437474849</v>
      </c>
      <c r="N100" s="44">
        <f t="shared" si="10"/>
        <v>1688.8925660016282</v>
      </c>
      <c r="O100" s="44">
        <f t="shared" si="11"/>
        <v>97.565506800890873</v>
      </c>
      <c r="P100" s="44">
        <f t="shared" si="12"/>
        <v>23.415721632213813</v>
      </c>
      <c r="Q100" s="44">
        <f t="shared" si="13"/>
        <v>227.38463995196736</v>
      </c>
      <c r="R100" s="44">
        <f t="shared" si="14"/>
        <v>39.026202720356352</v>
      </c>
      <c r="S100" s="44">
        <f t="shared" si="15"/>
        <v>78.052405440712704</v>
      </c>
      <c r="T100" s="44">
        <f t="shared" si="16"/>
        <v>989.11237929178992</v>
      </c>
      <c r="U100" s="44">
        <f t="shared" si="17"/>
        <v>27.318341904249451</v>
      </c>
      <c r="V100" s="44">
        <f t="shared" si="18"/>
        <v>23.415721632213813</v>
      </c>
      <c r="W100" s="298">
        <f t="shared" si="19"/>
        <v>16.650607731340386</v>
      </c>
      <c r="X100" s="52">
        <f t="shared" si="20"/>
        <v>8.5386640089883166</v>
      </c>
      <c r="Y100" s="463">
        <f t="shared" si="21"/>
        <v>0.02</v>
      </c>
      <c r="Z100" s="142">
        <f t="shared" si="22"/>
        <v>8.3013116355097623</v>
      </c>
      <c r="AA100" s="52">
        <f t="shared" si="23"/>
        <v>7.26136833622511</v>
      </c>
      <c r="AB100" s="44">
        <f t="shared" si="24"/>
        <v>139</v>
      </c>
      <c r="AC100" s="44">
        <f t="shared" si="25"/>
        <v>250</v>
      </c>
      <c r="AD100" s="121">
        <f t="shared" si="28"/>
        <v>692.72924997589791</v>
      </c>
      <c r="AE100" s="121"/>
      <c r="AG100" s="47">
        <v>2038</v>
      </c>
      <c r="AH100" s="140">
        <v>0.1</v>
      </c>
      <c r="AI100" s="197">
        <f t="shared" si="3"/>
        <v>-0.15200309344504995</v>
      </c>
      <c r="AJ100" s="192">
        <v>0.05</v>
      </c>
      <c r="AK100" s="195">
        <f t="shared" si="4"/>
        <v>-7.4000581443776914E-2</v>
      </c>
      <c r="AL100" s="89">
        <v>0</v>
      </c>
      <c r="AM100" s="197">
        <f t="shared" si="5"/>
        <v>0</v>
      </c>
      <c r="AN100" s="354">
        <v>0.2</v>
      </c>
      <c r="AO100" s="197">
        <f t="shared" si="27"/>
        <v>-0.32192809488736229</v>
      </c>
      <c r="AP100" s="356">
        <f t="shared" si="29"/>
        <v>0.77616722686375117</v>
      </c>
    </row>
    <row r="101" spans="1:42" x14ac:dyDescent="0.45">
      <c r="B101" s="34">
        <v>2039</v>
      </c>
      <c r="C101" s="35"/>
      <c r="D101" s="67">
        <f t="shared" si="1"/>
        <v>699.86954564197276</v>
      </c>
      <c r="E101" s="191">
        <v>0.06</v>
      </c>
      <c r="F101" s="349">
        <f t="shared" si="26"/>
        <v>97.290115034111992</v>
      </c>
      <c r="G101" s="191">
        <v>0.21</v>
      </c>
      <c r="H101" s="26">
        <f t="shared" si="2"/>
        <v>4077.756994140474</v>
      </c>
      <c r="I101" s="192">
        <v>0.06</v>
      </c>
      <c r="J101" s="185">
        <f t="shared" si="6"/>
        <v>3.5940368048435874E-2</v>
      </c>
      <c r="K101" s="44">
        <f t="shared" si="7"/>
        <v>446.3504023135265</v>
      </c>
      <c r="L101" s="44">
        <f t="shared" si="8"/>
        <v>217.74039920557655</v>
      </c>
      <c r="M101" s="44">
        <f t="shared" si="9"/>
        <v>254.58877445575104</v>
      </c>
      <c r="N101" s="44">
        <f t="shared" si="10"/>
        <v>1681.6258523261452</v>
      </c>
      <c r="O101" s="44">
        <f t="shared" si="11"/>
        <v>97.145716568641845</v>
      </c>
      <c r="P101" s="44">
        <f t="shared" si="12"/>
        <v>23.314971976474048</v>
      </c>
      <c r="Q101" s="44">
        <f t="shared" si="13"/>
        <v>226.40628342059509</v>
      </c>
      <c r="R101" s="44">
        <f t="shared" si="14"/>
        <v>38.858286627456742</v>
      </c>
      <c r="S101" s="44">
        <f t="shared" si="15"/>
        <v>77.716573254913484</v>
      </c>
      <c r="T101" s="44">
        <f t="shared" si="16"/>
        <v>984.85657486829984</v>
      </c>
      <c r="U101" s="44">
        <f t="shared" si="17"/>
        <v>27.200800639219722</v>
      </c>
      <c r="V101" s="44">
        <f t="shared" si="18"/>
        <v>23.314971976474048</v>
      </c>
      <c r="W101" s="298">
        <f t="shared" si="19"/>
        <v>16.503783569377088</v>
      </c>
      <c r="X101" s="52">
        <f t="shared" si="20"/>
        <v>8.5019251259039024</v>
      </c>
      <c r="Y101" s="463">
        <f t="shared" si="21"/>
        <v>0.02</v>
      </c>
      <c r="Z101" s="142">
        <f t="shared" si="22"/>
        <v>8.2281111167211449</v>
      </c>
      <c r="AA101" s="52">
        <f t="shared" si="23"/>
        <v>7.2301252094248722</v>
      </c>
      <c r="AB101" s="44">
        <f t="shared" si="24"/>
        <v>139</v>
      </c>
      <c r="AC101" s="44">
        <f t="shared" si="25"/>
        <v>250</v>
      </c>
      <c r="AD101" s="121">
        <f t="shared" si="28"/>
        <v>639.8079387302015</v>
      </c>
      <c r="AE101" s="121"/>
      <c r="AG101" s="47">
        <v>2039</v>
      </c>
      <c r="AH101" s="140">
        <v>0.1</v>
      </c>
      <c r="AI101" s="197">
        <f t="shared" si="3"/>
        <v>-0.15200309344504995</v>
      </c>
      <c r="AJ101" s="192">
        <v>0.05</v>
      </c>
      <c r="AK101" s="195">
        <f t="shared" si="4"/>
        <v>-7.4000581443776914E-2</v>
      </c>
      <c r="AL101" s="89">
        <v>0</v>
      </c>
      <c r="AM101" s="197">
        <f t="shared" si="5"/>
        <v>0</v>
      </c>
      <c r="AN101" s="354">
        <v>0.2</v>
      </c>
      <c r="AO101" s="197">
        <f t="shared" si="27"/>
        <v>-0.32192809488736229</v>
      </c>
      <c r="AP101" s="356">
        <f t="shared" si="29"/>
        <v>0.71687164003383919</v>
      </c>
    </row>
    <row r="102" spans="1:42" x14ac:dyDescent="0.45">
      <c r="B102" s="34">
        <v>2040</v>
      </c>
      <c r="C102" s="35"/>
      <c r="D102" s="67">
        <f t="shared" si="1"/>
        <v>741.8617183804912</v>
      </c>
      <c r="E102" s="191">
        <v>0.06</v>
      </c>
      <c r="F102" s="349">
        <f t="shared" si="26"/>
        <v>116.74813804093438</v>
      </c>
      <c r="G102" s="191">
        <v>0.2</v>
      </c>
      <c r="H102" s="26">
        <f t="shared" si="2"/>
        <v>4322.4224137889023</v>
      </c>
      <c r="I102" s="192">
        <v>0.06</v>
      </c>
      <c r="J102" s="185">
        <f t="shared" si="6"/>
        <v>3.5623447819186124E-2</v>
      </c>
      <c r="K102" s="44">
        <f t="shared" si="7"/>
        <v>442.41450851198607</v>
      </c>
      <c r="L102" s="44">
        <f t="shared" si="8"/>
        <v>216.80353846708786</v>
      </c>
      <c r="M102" s="44">
        <f t="shared" si="9"/>
        <v>253.4933680538258</v>
      </c>
      <c r="N102" s="44">
        <f t="shared" si="10"/>
        <v>1674.3904047765864</v>
      </c>
      <c r="O102" s="44">
        <f t="shared" si="11"/>
        <v>96.727732546854583</v>
      </c>
      <c r="P102" s="44">
        <f t="shared" si="12"/>
        <v>23.214655811245105</v>
      </c>
      <c r="Q102" s="44">
        <f t="shared" si="13"/>
        <v>225.43213641499676</v>
      </c>
      <c r="R102" s="44">
        <f t="shared" si="14"/>
        <v>38.691093018741839</v>
      </c>
      <c r="S102" s="44">
        <f t="shared" si="15"/>
        <v>77.382186037483677</v>
      </c>
      <c r="T102" s="44">
        <f t="shared" si="16"/>
        <v>980.61908168190496</v>
      </c>
      <c r="U102" s="44">
        <f t="shared" si="17"/>
        <v>27.083765113119291</v>
      </c>
      <c r="V102" s="44">
        <f t="shared" si="18"/>
        <v>23.214655811245105</v>
      </c>
      <c r="W102" s="298">
        <f t="shared" si="19"/>
        <v>16.358254094964181</v>
      </c>
      <c r="X102" s="52">
        <f t="shared" si="20"/>
        <v>8.4653443173764522</v>
      </c>
      <c r="Y102" s="463">
        <f t="shared" si="21"/>
        <v>0.02</v>
      </c>
      <c r="Z102" s="142">
        <f t="shared" si="22"/>
        <v>8.1555560761637018</v>
      </c>
      <c r="AA102" s="52">
        <f t="shared" si="23"/>
        <v>7.199016510865575</v>
      </c>
      <c r="AB102" s="44">
        <f t="shared" si="24"/>
        <v>139</v>
      </c>
      <c r="AC102" s="44">
        <f t="shared" si="25"/>
        <v>250</v>
      </c>
      <c r="AD102" s="121">
        <f t="shared" si="28"/>
        <v>596.3982463812082</v>
      </c>
      <c r="AE102" s="121"/>
      <c r="AG102" s="47">
        <v>2040</v>
      </c>
      <c r="AH102" s="140">
        <v>0.1</v>
      </c>
      <c r="AI102" s="197">
        <f t="shared" si="3"/>
        <v>-0.15200309344504995</v>
      </c>
      <c r="AJ102" s="192">
        <v>0.05</v>
      </c>
      <c r="AK102" s="195">
        <f t="shared" si="4"/>
        <v>-7.4000581443776914E-2</v>
      </c>
      <c r="AL102" s="89">
        <v>0</v>
      </c>
      <c r="AM102" s="197">
        <f t="shared" si="5"/>
        <v>0</v>
      </c>
      <c r="AN102" s="354">
        <v>0.19</v>
      </c>
      <c r="AO102" s="197">
        <f t="shared" si="27"/>
        <v>-0.30400618689009984</v>
      </c>
      <c r="AP102" s="356">
        <f t="shared" si="29"/>
        <v>0.66823332927866463</v>
      </c>
    </row>
    <row r="103" spans="1:42" x14ac:dyDescent="0.45">
      <c r="B103" s="34">
        <v>2041</v>
      </c>
      <c r="C103" s="35"/>
      <c r="D103" s="67">
        <f t="shared" si="1"/>
        <v>778.95480429951579</v>
      </c>
      <c r="E103" s="191">
        <v>0.05</v>
      </c>
      <c r="F103" s="349">
        <f t="shared" si="26"/>
        <v>137.76280288830256</v>
      </c>
      <c r="G103" s="191">
        <v>0.18</v>
      </c>
      <c r="H103" s="26">
        <f t="shared" si="2"/>
        <v>4538.5435344783473</v>
      </c>
      <c r="I103" s="192">
        <v>0.05</v>
      </c>
      <c r="J103" s="185">
        <f t="shared" si="6"/>
        <v>3.5360232457367635E-2</v>
      </c>
      <c r="K103" s="44">
        <f t="shared" si="7"/>
        <v>439.14558587645683</v>
      </c>
      <c r="L103" s="44">
        <f t="shared" si="8"/>
        <v>216.02218057463907</v>
      </c>
      <c r="M103" s="44">
        <f t="shared" si="9"/>
        <v>252.57978036419337</v>
      </c>
      <c r="N103" s="44">
        <f t="shared" si="10"/>
        <v>1668.3559176687511</v>
      </c>
      <c r="O103" s="44">
        <f t="shared" si="11"/>
        <v>96.379126717915895</v>
      </c>
      <c r="P103" s="44">
        <f t="shared" si="12"/>
        <v>23.13099041229982</v>
      </c>
      <c r="Q103" s="44">
        <f t="shared" si="13"/>
        <v>224.61968113753738</v>
      </c>
      <c r="R103" s="44">
        <f t="shared" si="14"/>
        <v>38.551650687166365</v>
      </c>
      <c r="S103" s="44">
        <f t="shared" si="15"/>
        <v>77.10330137433273</v>
      </c>
      <c r="T103" s="44">
        <f t="shared" si="16"/>
        <v>977.08493982990581</v>
      </c>
      <c r="U103" s="44">
        <f t="shared" si="17"/>
        <v>26.986155481016457</v>
      </c>
      <c r="V103" s="44">
        <f t="shared" si="18"/>
        <v>23.13099041229982</v>
      </c>
      <c r="W103" s="298">
        <f t="shared" si="19"/>
        <v>16.23738584570938</v>
      </c>
      <c r="X103" s="52">
        <f t="shared" si="20"/>
        <v>8.4348352968989904</v>
      </c>
      <c r="Y103" s="463">
        <f t="shared" si="21"/>
        <v>0.02</v>
      </c>
      <c r="Z103" s="142">
        <f t="shared" si="22"/>
        <v>8.0952961132787422</v>
      </c>
      <c r="AA103" s="52">
        <f t="shared" si="23"/>
        <v>7.1730713237694337</v>
      </c>
      <c r="AB103" s="44">
        <f t="shared" si="24"/>
        <v>139</v>
      </c>
      <c r="AC103" s="44">
        <f t="shared" si="25"/>
        <v>250</v>
      </c>
      <c r="AD103" s="121">
        <f t="shared" si="28"/>
        <v>559.4877930529608</v>
      </c>
      <c r="AE103" s="121"/>
      <c r="AG103" s="47">
        <v>2041</v>
      </c>
      <c r="AH103" s="140">
        <v>0.1</v>
      </c>
      <c r="AI103" s="197">
        <f t="shared" si="3"/>
        <v>-0.15200309344504995</v>
      </c>
      <c r="AJ103" s="192">
        <v>0.05</v>
      </c>
      <c r="AK103" s="195">
        <f t="shared" si="4"/>
        <v>-7.4000581443776914E-2</v>
      </c>
      <c r="AL103" s="89">
        <v>0</v>
      </c>
      <c r="AM103" s="197">
        <f t="shared" si="5"/>
        <v>0</v>
      </c>
      <c r="AN103" s="354">
        <v>0.18</v>
      </c>
      <c r="AO103" s="197">
        <f t="shared" si="27"/>
        <v>-0.28630418515664091</v>
      </c>
      <c r="AP103" s="356">
        <f t="shared" si="29"/>
        <v>0.62687707905093648</v>
      </c>
    </row>
    <row r="104" spans="1:42" x14ac:dyDescent="0.45">
      <c r="A104">
        <v>4</v>
      </c>
      <c r="B104" s="34">
        <v>2042</v>
      </c>
      <c r="C104" s="35"/>
      <c r="D104" s="67">
        <f t="shared" si="1"/>
        <v>817.90254451449164</v>
      </c>
      <c r="E104" s="191">
        <v>0.05</v>
      </c>
      <c r="F104" s="349">
        <f t="shared" si="26"/>
        <v>159.80485135043097</v>
      </c>
      <c r="G104" s="191">
        <v>0.16</v>
      </c>
      <c r="H104" s="26">
        <f t="shared" si="2"/>
        <v>4765.4707112022652</v>
      </c>
      <c r="I104" s="192">
        <v>0.05</v>
      </c>
      <c r="J104" s="185">
        <f t="shared" si="6"/>
        <v>3.5098961947351501E-2</v>
      </c>
      <c r="K104" s="44">
        <f t="shared" si="7"/>
        <v>435.900816732713</v>
      </c>
      <c r="L104" s="44">
        <f t="shared" si="8"/>
        <v>215.24363868860976</v>
      </c>
      <c r="M104" s="44">
        <f t="shared" si="9"/>
        <v>251.66948523591296</v>
      </c>
      <c r="N104" s="44">
        <f t="shared" si="10"/>
        <v>1662.3431787951095</v>
      </c>
      <c r="O104" s="44">
        <f t="shared" si="11"/>
        <v>96.031777261072051</v>
      </c>
      <c r="P104" s="44">
        <f t="shared" si="12"/>
        <v>23.047626542657298</v>
      </c>
      <c r="Q104" s="44">
        <f t="shared" si="13"/>
        <v>223.81015394117759</v>
      </c>
      <c r="R104" s="44">
        <f t="shared" si="14"/>
        <v>38.412710904428828</v>
      </c>
      <c r="S104" s="44">
        <f t="shared" si="15"/>
        <v>76.825421808857655</v>
      </c>
      <c r="T104" s="44">
        <f t="shared" si="16"/>
        <v>973.56353499155784</v>
      </c>
      <c r="U104" s="44">
        <f t="shared" si="17"/>
        <v>26.888897633100182</v>
      </c>
      <c r="V104" s="44">
        <f t="shared" si="18"/>
        <v>23.047626542657298</v>
      </c>
      <c r="W104" s="298">
        <f t="shared" si="19"/>
        <v>16.117410670592754</v>
      </c>
      <c r="X104" s="52">
        <f t="shared" si="20"/>
        <v>8.4044362306414158</v>
      </c>
      <c r="Y104" s="463">
        <f t="shared" si="21"/>
        <v>0.02</v>
      </c>
      <c r="Z104" s="142">
        <f t="shared" si="22"/>
        <v>8.0354814006125288</v>
      </c>
      <c r="AA104" s="52">
        <f t="shared" si="23"/>
        <v>7.1472196428810415</v>
      </c>
      <c r="AB104" s="44">
        <f t="shared" si="24"/>
        <v>139</v>
      </c>
      <c r="AC104" s="44">
        <f t="shared" si="25"/>
        <v>250</v>
      </c>
      <c r="AD104" s="121">
        <f t="shared" si="28"/>
        <v>528.05274056138012</v>
      </c>
      <c r="AE104" s="121"/>
      <c r="AG104" s="47">
        <v>2042</v>
      </c>
      <c r="AH104" s="140">
        <v>0.1</v>
      </c>
      <c r="AI104" s="197">
        <f t="shared" si="3"/>
        <v>-0.15200309344504995</v>
      </c>
      <c r="AJ104" s="192">
        <v>0.05</v>
      </c>
      <c r="AK104" s="195">
        <f t="shared" si="4"/>
        <v>-7.4000581443776914E-2</v>
      </c>
      <c r="AL104" s="89">
        <v>0</v>
      </c>
      <c r="AM104" s="197">
        <f t="shared" si="5"/>
        <v>0</v>
      </c>
      <c r="AN104" s="354">
        <v>0.17</v>
      </c>
      <c r="AO104" s="197">
        <f t="shared" si="27"/>
        <v>-0.26881675842780001</v>
      </c>
      <c r="AP104" s="356">
        <f t="shared" si="29"/>
        <v>0.59165573172143426</v>
      </c>
    </row>
    <row r="105" spans="1:42" x14ac:dyDescent="0.45">
      <c r="B105" s="34">
        <v>2043</v>
      </c>
      <c r="C105" s="35"/>
      <c r="D105" s="67">
        <f t="shared" si="1"/>
        <v>858.79767174021629</v>
      </c>
      <c r="E105" s="191">
        <v>0.05</v>
      </c>
      <c r="F105" s="349">
        <f t="shared" si="26"/>
        <v>182.17753053949133</v>
      </c>
      <c r="G105" s="191">
        <v>0.14000000000000001</v>
      </c>
      <c r="H105" s="26">
        <f t="shared" si="2"/>
        <v>5003.7442467623787</v>
      </c>
      <c r="I105" s="192">
        <v>0.05</v>
      </c>
      <c r="J105" s="185">
        <f t="shared" si="6"/>
        <v>3.4839621918971379E-2</v>
      </c>
      <c r="K105" s="44">
        <f t="shared" si="7"/>
        <v>432.68002261487123</v>
      </c>
      <c r="L105" s="44">
        <f t="shared" si="8"/>
        <v>214.46790266013957</v>
      </c>
      <c r="M105" s="44">
        <f t="shared" si="9"/>
        <v>250.76247080262473</v>
      </c>
      <c r="N105" s="44">
        <f t="shared" si="10"/>
        <v>1656.3521097752321</v>
      </c>
      <c r="O105" s="44">
        <f t="shared" si="11"/>
        <v>95.68567964836997</v>
      </c>
      <c r="P105" s="44">
        <f t="shared" si="12"/>
        <v>22.964563115608797</v>
      </c>
      <c r="Q105" s="44">
        <f t="shared" si="13"/>
        <v>223.0035442731409</v>
      </c>
      <c r="R105" s="44">
        <f t="shared" si="14"/>
        <v>38.274271859347998</v>
      </c>
      <c r="S105" s="44">
        <f t="shared" si="15"/>
        <v>76.548543718695996</v>
      </c>
      <c r="T105" s="44">
        <f t="shared" si="16"/>
        <v>970.05482126278503</v>
      </c>
      <c r="U105" s="44">
        <f t="shared" si="17"/>
        <v>26.791990301543599</v>
      </c>
      <c r="V105" s="44">
        <f t="shared" si="18"/>
        <v>22.964563115608797</v>
      </c>
      <c r="W105" s="298">
        <f t="shared" si="19"/>
        <v>15.998321970847289</v>
      </c>
      <c r="X105" s="52">
        <f t="shared" si="20"/>
        <v>8.3741467223297636</v>
      </c>
      <c r="Y105" s="463">
        <f t="shared" si="21"/>
        <v>0.02</v>
      </c>
      <c r="Z105" s="142">
        <f t="shared" si="22"/>
        <v>7.9761086482898618</v>
      </c>
      <c r="AA105" s="52">
        <f t="shared" si="23"/>
        <v>7.1214611312049145</v>
      </c>
      <c r="AB105" s="44">
        <f t="shared" si="24"/>
        <v>139</v>
      </c>
      <c r="AC105" s="44">
        <f t="shared" si="25"/>
        <v>250</v>
      </c>
      <c r="AD105" s="121">
        <f t="shared" si="28"/>
        <v>502.28991168903337</v>
      </c>
      <c r="AE105" s="121"/>
      <c r="AG105" s="47">
        <v>2043</v>
      </c>
      <c r="AH105" s="140">
        <v>0.1</v>
      </c>
      <c r="AI105" s="197">
        <f t="shared" si="3"/>
        <v>-0.15200309344504995</v>
      </c>
      <c r="AJ105" s="192">
        <v>0.05</v>
      </c>
      <c r="AK105" s="195">
        <f t="shared" si="4"/>
        <v>-7.4000581443776914E-2</v>
      </c>
      <c r="AL105" s="89">
        <v>0</v>
      </c>
      <c r="AM105" s="197">
        <f t="shared" si="5"/>
        <v>0</v>
      </c>
      <c r="AN105" s="354">
        <v>0.16</v>
      </c>
      <c r="AO105" s="197">
        <f t="shared" si="27"/>
        <v>-0.25153876699596445</v>
      </c>
      <c r="AP105" s="356">
        <f t="shared" si="29"/>
        <v>0.56278981701852482</v>
      </c>
    </row>
    <row r="106" spans="1:42" x14ac:dyDescent="0.45">
      <c r="B106" s="34">
        <v>2044</v>
      </c>
      <c r="C106" s="35"/>
      <c r="D106" s="67">
        <f t="shared" si="1"/>
        <v>893.14957860982497</v>
      </c>
      <c r="E106" s="191">
        <v>0.04</v>
      </c>
      <c r="F106" s="349">
        <f t="shared" si="26"/>
        <v>204.03883420423031</v>
      </c>
      <c r="G106" s="191">
        <v>0.12</v>
      </c>
      <c r="H106" s="26">
        <f t="shared" si="2"/>
        <v>5203.8940166328739</v>
      </c>
      <c r="I106" s="192">
        <v>0.04</v>
      </c>
      <c r="J106" s="185">
        <f t="shared" si="6"/>
        <v>3.4632537497500941E-2</v>
      </c>
      <c r="K106" s="44">
        <f t="shared" si="7"/>
        <v>430.10820101550343</v>
      </c>
      <c r="L106" s="44">
        <f t="shared" si="8"/>
        <v>213.8463429764808</v>
      </c>
      <c r="M106" s="44">
        <f t="shared" si="9"/>
        <v>250.03572409557756</v>
      </c>
      <c r="N106" s="44">
        <f t="shared" si="10"/>
        <v>1651.551756526052</v>
      </c>
      <c r="O106" s="44">
        <f t="shared" si="11"/>
        <v>95.408368404891448</v>
      </c>
      <c r="P106" s="44">
        <f t="shared" si="12"/>
        <v>22.898008417173951</v>
      </c>
      <c r="Q106" s="44">
        <f t="shared" si="13"/>
        <v>222.35724703838477</v>
      </c>
      <c r="R106" s="44">
        <f t="shared" si="14"/>
        <v>38.163347361956589</v>
      </c>
      <c r="S106" s="44">
        <f t="shared" si="15"/>
        <v>76.326694723913178</v>
      </c>
      <c r="T106" s="44">
        <f t="shared" si="16"/>
        <v>967.24345900131311</v>
      </c>
      <c r="U106" s="44">
        <f t="shared" si="17"/>
        <v>26.714343153369612</v>
      </c>
      <c r="V106" s="44">
        <f t="shared" si="18"/>
        <v>22.898008417173951</v>
      </c>
      <c r="W106" s="298">
        <f t="shared" si="19"/>
        <v>15.903228997176795</v>
      </c>
      <c r="X106" s="52">
        <f t="shared" si="20"/>
        <v>8.3498772072970571</v>
      </c>
      <c r="Y106" s="463">
        <f t="shared" si="21"/>
        <v>0.02</v>
      </c>
      <c r="Z106" s="142">
        <f t="shared" si="22"/>
        <v>7.928699183030508</v>
      </c>
      <c r="AA106" s="52">
        <f t="shared" si="23"/>
        <v>7.10082208418204</v>
      </c>
      <c r="AB106" s="44">
        <f t="shared" si="24"/>
        <v>139</v>
      </c>
      <c r="AC106" s="44">
        <f t="shared" si="25"/>
        <v>250</v>
      </c>
      <c r="AD106" s="121">
        <f t="shared" si="28"/>
        <v>480.3349222903571</v>
      </c>
      <c r="AE106" s="121"/>
      <c r="AG106" s="47">
        <v>2044</v>
      </c>
      <c r="AH106" s="140">
        <v>0.1</v>
      </c>
      <c r="AI106" s="197">
        <f t="shared" si="3"/>
        <v>-0.15200309344504995</v>
      </c>
      <c r="AJ106" s="192">
        <v>0.05</v>
      </c>
      <c r="AK106" s="195">
        <f t="shared" si="4"/>
        <v>-7.4000581443776914E-2</v>
      </c>
      <c r="AL106" s="89">
        <v>0</v>
      </c>
      <c r="AM106" s="197">
        <f t="shared" si="5"/>
        <v>0</v>
      </c>
      <c r="AN106" s="354">
        <v>0.15</v>
      </c>
      <c r="AO106" s="197">
        <f t="shared" si="27"/>
        <v>-0.234465253637023</v>
      </c>
      <c r="AP106" s="356">
        <f t="shared" si="29"/>
        <v>0.53819038912084827</v>
      </c>
    </row>
    <row r="107" spans="1:42" x14ac:dyDescent="0.45">
      <c r="B107" s="34">
        <v>2045</v>
      </c>
      <c r="C107" s="35"/>
      <c r="D107" s="67">
        <f t="shared" si="1"/>
        <v>928.87556175421798</v>
      </c>
      <c r="E107" s="191">
        <v>0.04</v>
      </c>
      <c r="F107" s="349">
        <f t="shared" si="26"/>
        <v>224.44271762465337</v>
      </c>
      <c r="G107" s="191">
        <v>0.1</v>
      </c>
      <c r="H107" s="26">
        <f t="shared" si="2"/>
        <v>5412.0497772981889</v>
      </c>
      <c r="I107" s="192">
        <v>0.04</v>
      </c>
      <c r="J107" s="185">
        <f t="shared" si="6"/>
        <v>3.4426683972212886E-2</v>
      </c>
      <c r="K107" s="44">
        <f t="shared" si="7"/>
        <v>427.55166615458728</v>
      </c>
      <c r="L107" s="44">
        <f t="shared" si="8"/>
        <v>213.22658466466163</v>
      </c>
      <c r="M107" s="44">
        <f t="shared" si="9"/>
        <v>249.31108360791208</v>
      </c>
      <c r="N107" s="44">
        <f t="shared" si="10"/>
        <v>1646.7653154101563</v>
      </c>
      <c r="O107" s="44">
        <f t="shared" si="11"/>
        <v>95.131860850387511</v>
      </c>
      <c r="P107" s="44">
        <f t="shared" si="12"/>
        <v>22.831646604093006</v>
      </c>
      <c r="Q107" s="44">
        <f t="shared" si="13"/>
        <v>221.7128228685479</v>
      </c>
      <c r="R107" s="44">
        <f t="shared" si="14"/>
        <v>38.052744340155016</v>
      </c>
      <c r="S107" s="44">
        <f t="shared" si="15"/>
        <v>76.105488680310032</v>
      </c>
      <c r="T107" s="44">
        <f t="shared" si="16"/>
        <v>964.44024448323876</v>
      </c>
      <c r="U107" s="44">
        <f t="shared" si="17"/>
        <v>26.636921038108511</v>
      </c>
      <c r="V107" s="44">
        <f t="shared" si="18"/>
        <v>22.831646604093006</v>
      </c>
      <c r="W107" s="298">
        <f t="shared" si="19"/>
        <v>15.80870124988804</v>
      </c>
      <c r="X107" s="52">
        <f t="shared" si="20"/>
        <v>8.3256780289063332</v>
      </c>
      <c r="Y107" s="463">
        <f t="shared" si="21"/>
        <v>0.02</v>
      </c>
      <c r="Z107" s="142">
        <f t="shared" si="22"/>
        <v>7.8815715165147884</v>
      </c>
      <c r="AA107" s="52">
        <f t="shared" si="23"/>
        <v>7.0802428521682153</v>
      </c>
      <c r="AB107" s="44">
        <f t="shared" si="24"/>
        <v>139</v>
      </c>
      <c r="AC107" s="44">
        <f t="shared" si="25"/>
        <v>250</v>
      </c>
      <c r="AD107" s="121">
        <f t="shared" si="28"/>
        <v>461.65229807620887</v>
      </c>
      <c r="AE107" s="121"/>
      <c r="AG107" s="47">
        <v>2045</v>
      </c>
      <c r="AH107" s="140">
        <v>0.1</v>
      </c>
      <c r="AI107" s="197">
        <f t="shared" si="3"/>
        <v>-0.15200309344504995</v>
      </c>
      <c r="AJ107" s="192">
        <v>0.05</v>
      </c>
      <c r="AK107" s="195">
        <f t="shared" si="4"/>
        <v>-7.4000581443776914E-2</v>
      </c>
      <c r="AL107" s="89">
        <v>0</v>
      </c>
      <c r="AM107" s="197">
        <f t="shared" si="5"/>
        <v>0</v>
      </c>
      <c r="AN107" s="354">
        <v>0.14000000000000001</v>
      </c>
      <c r="AO107" s="197">
        <f t="shared" si="27"/>
        <v>-0.21759143507262677</v>
      </c>
      <c r="AP107" s="356">
        <f t="shared" si="29"/>
        <v>0.51725747683608836</v>
      </c>
    </row>
    <row r="108" spans="1:42" x14ac:dyDescent="0.45">
      <c r="B108" s="34">
        <v>2046</v>
      </c>
      <c r="C108" s="35"/>
      <c r="D108" s="67">
        <f t="shared" si="1"/>
        <v>956.74182860684459</v>
      </c>
      <c r="E108" s="191">
        <v>0.03</v>
      </c>
      <c r="F108" s="349">
        <f t="shared" si="26"/>
        <v>246.88698938711872</v>
      </c>
      <c r="G108" s="191">
        <v>0.1</v>
      </c>
      <c r="H108" s="26">
        <f t="shared" si="2"/>
        <v>5574.4112706171345</v>
      </c>
      <c r="I108" s="192">
        <v>0.03</v>
      </c>
      <c r="J108" s="185">
        <f t="shared" si="6"/>
        <v>3.4272350840973013E-2</v>
      </c>
      <c r="K108" s="44">
        <f t="shared" si="7"/>
        <v>425.63497306100555</v>
      </c>
      <c r="L108" s="44">
        <f t="shared" si="8"/>
        <v>212.76068926700626</v>
      </c>
      <c r="M108" s="44">
        <f t="shared" si="9"/>
        <v>248.76634437373039</v>
      </c>
      <c r="N108" s="44">
        <f t="shared" si="10"/>
        <v>1643.1671694159563</v>
      </c>
      <c r="O108" s="44">
        <f t="shared" si="11"/>
        <v>94.923999826818189</v>
      </c>
      <c r="P108" s="44">
        <f t="shared" si="12"/>
        <v>22.781759958436368</v>
      </c>
      <c r="Q108" s="44">
        <f t="shared" si="13"/>
        <v>221.22838522706857</v>
      </c>
      <c r="R108" s="44">
        <f t="shared" si="14"/>
        <v>37.969599930727284</v>
      </c>
      <c r="S108" s="44">
        <f t="shared" si="15"/>
        <v>75.939199861454568</v>
      </c>
      <c r="T108" s="44">
        <f t="shared" si="16"/>
        <v>962.33296376153601</v>
      </c>
      <c r="U108" s="44">
        <f t="shared" si="17"/>
        <v>26.5787199515091</v>
      </c>
      <c r="V108" s="44">
        <f t="shared" si="18"/>
        <v>22.781759958436368</v>
      </c>
      <c r="W108" s="298">
        <f t="shared" si="19"/>
        <v>15.737831619612288</v>
      </c>
      <c r="X108" s="52">
        <f t="shared" si="20"/>
        <v>8.307486605533267</v>
      </c>
      <c r="Y108" s="463">
        <f t="shared" si="21"/>
        <v>0.02</v>
      </c>
      <c r="Z108" s="142">
        <f t="shared" si="22"/>
        <v>7.8462388189997876</v>
      </c>
      <c r="AA108" s="52">
        <f t="shared" si="23"/>
        <v>7.064772677263452</v>
      </c>
      <c r="AB108" s="44">
        <f t="shared" si="24"/>
        <v>139</v>
      </c>
      <c r="AC108" s="44">
        <f t="shared" si="25"/>
        <v>250</v>
      </c>
      <c r="AD108" s="121">
        <f t="shared" si="28"/>
        <v>446.55298221388171</v>
      </c>
      <c r="AE108" s="121"/>
      <c r="AG108" s="47">
        <v>2046</v>
      </c>
      <c r="AH108" s="140">
        <v>0.1</v>
      </c>
      <c r="AI108" s="197">
        <f t="shared" si="3"/>
        <v>-0.15200309344504995</v>
      </c>
      <c r="AJ108" s="192">
        <v>0.05</v>
      </c>
      <c r="AK108" s="195">
        <f t="shared" si="4"/>
        <v>-7.4000581443776914E-2</v>
      </c>
      <c r="AL108" s="89">
        <v>0</v>
      </c>
      <c r="AM108" s="197">
        <f t="shared" si="5"/>
        <v>0</v>
      </c>
      <c r="AN108" s="354">
        <v>0.13</v>
      </c>
      <c r="AO108" s="197">
        <f t="shared" si="27"/>
        <v>-0.20091269392599639</v>
      </c>
      <c r="AP108" s="356">
        <f t="shared" si="29"/>
        <v>0.50033947586989547</v>
      </c>
    </row>
    <row r="109" spans="1:42" x14ac:dyDescent="0.45">
      <c r="B109" s="34">
        <v>2047</v>
      </c>
      <c r="C109" s="35"/>
      <c r="D109" s="67">
        <f t="shared" si="1"/>
        <v>985.44408346504997</v>
      </c>
      <c r="E109" s="191">
        <v>0.03</v>
      </c>
      <c r="F109" s="349">
        <f t="shared" si="26"/>
        <v>271.57568832583058</v>
      </c>
      <c r="G109" s="191">
        <v>0.1</v>
      </c>
      <c r="H109" s="26">
        <f t="shared" si="2"/>
        <v>5741.6436087356487</v>
      </c>
      <c r="I109" s="192">
        <v>0.03</v>
      </c>
      <c r="J109" s="185">
        <f t="shared" si="6"/>
        <v>3.4118709577570822E-2</v>
      </c>
      <c r="K109" s="44">
        <f t="shared" si="7"/>
        <v>423.72687240830476</v>
      </c>
      <c r="L109" s="44">
        <f t="shared" si="8"/>
        <v>212.29581184054757</v>
      </c>
      <c r="M109" s="44">
        <f t="shared" si="9"/>
        <v>248.22279538279406</v>
      </c>
      <c r="N109" s="44">
        <f t="shared" si="10"/>
        <v>1639.5768852916137</v>
      </c>
      <c r="O109" s="44">
        <f t="shared" si="11"/>
        <v>94.71659297501354</v>
      </c>
      <c r="P109" s="44">
        <f t="shared" si="12"/>
        <v>22.73198231400325</v>
      </c>
      <c r="Q109" s="44">
        <f t="shared" si="13"/>
        <v>220.74500607118085</v>
      </c>
      <c r="R109" s="44">
        <f t="shared" si="14"/>
        <v>37.886637190005423</v>
      </c>
      <c r="S109" s="44">
        <f t="shared" si="15"/>
        <v>75.773274380010847</v>
      </c>
      <c r="T109" s="44">
        <f t="shared" si="16"/>
        <v>960.23028740186135</v>
      </c>
      <c r="U109" s="44">
        <f t="shared" si="17"/>
        <v>26.5206460330038</v>
      </c>
      <c r="V109" s="44">
        <f t="shared" si="18"/>
        <v>22.73198231400325</v>
      </c>
      <c r="W109" s="298">
        <f t="shared" si="19"/>
        <v>15.667279694403893</v>
      </c>
      <c r="X109" s="52">
        <f t="shared" si="20"/>
        <v>8.2893349300201571</v>
      </c>
      <c r="Y109" s="463">
        <f t="shared" si="21"/>
        <v>0.02</v>
      </c>
      <c r="Z109" s="142">
        <f t="shared" si="22"/>
        <v>7.8110645162301839</v>
      </c>
      <c r="AA109" s="52">
        <f t="shared" si="23"/>
        <v>7.0493363043505957</v>
      </c>
      <c r="AB109" s="44">
        <f t="shared" si="24"/>
        <v>139</v>
      </c>
      <c r="AC109" s="44">
        <f t="shared" si="25"/>
        <v>250</v>
      </c>
      <c r="AD109" s="121">
        <f t="shared" si="28"/>
        <v>434.4955741849376</v>
      </c>
      <c r="AE109" s="121"/>
      <c r="AG109" s="47">
        <v>2047</v>
      </c>
      <c r="AH109" s="140">
        <v>0.1</v>
      </c>
      <c r="AI109" s="197">
        <f t="shared" si="3"/>
        <v>-0.15200309344504995</v>
      </c>
      <c r="AJ109" s="192">
        <v>0.05</v>
      </c>
      <c r="AK109" s="195">
        <f t="shared" si="4"/>
        <v>-7.4000581443776914E-2</v>
      </c>
      <c r="AL109" s="89">
        <v>0</v>
      </c>
      <c r="AM109" s="197">
        <f t="shared" si="5"/>
        <v>0</v>
      </c>
      <c r="AN109" s="354">
        <v>0.12</v>
      </c>
      <c r="AO109" s="197">
        <f t="shared" si="27"/>
        <v>-0.18442457113742744</v>
      </c>
      <c r="AP109" s="356">
        <f t="shared" si="29"/>
        <v>0.48682977499712898</v>
      </c>
    </row>
    <row r="110" spans="1:42" x14ac:dyDescent="0.45">
      <c r="B110" s="34">
        <v>2048</v>
      </c>
      <c r="C110" s="35"/>
      <c r="D110" s="67">
        <f t="shared" si="1"/>
        <v>1015.0074059690015</v>
      </c>
      <c r="E110" s="191">
        <v>0.03</v>
      </c>
      <c r="F110" s="349">
        <f t="shared" si="26"/>
        <v>298.73325715841366</v>
      </c>
      <c r="G110" s="191">
        <v>0.1</v>
      </c>
      <c r="H110" s="26">
        <f t="shared" si="2"/>
        <v>5913.8929169977182</v>
      </c>
      <c r="I110" s="192">
        <v>0.03</v>
      </c>
      <c r="J110" s="185">
        <f t="shared" si="6"/>
        <v>3.3965757080396813E-2</v>
      </c>
      <c r="K110" s="44">
        <f t="shared" si="7"/>
        <v>421.82732567699497</v>
      </c>
      <c r="L110" s="44">
        <f t="shared" si="8"/>
        <v>211.83195016104088</v>
      </c>
      <c r="M110" s="44">
        <f t="shared" si="9"/>
        <v>247.68043403444779</v>
      </c>
      <c r="N110" s="44">
        <f t="shared" si="10"/>
        <v>1635.994445859116</v>
      </c>
      <c r="O110" s="44">
        <f t="shared" si="11"/>
        <v>94.509639302618254</v>
      </c>
      <c r="P110" s="44">
        <f t="shared" si="12"/>
        <v>22.68231343262838</v>
      </c>
      <c r="Q110" s="44">
        <f t="shared" si="13"/>
        <v>220.26268308811703</v>
      </c>
      <c r="R110" s="44">
        <f t="shared" si="14"/>
        <v>37.803855721047306</v>
      </c>
      <c r="S110" s="44">
        <f t="shared" si="15"/>
        <v>75.607711442094612</v>
      </c>
      <c r="T110" s="44">
        <f t="shared" si="16"/>
        <v>958.1322053437849</v>
      </c>
      <c r="U110" s="44">
        <f t="shared" si="17"/>
        <v>26.462699004733118</v>
      </c>
      <c r="V110" s="44">
        <f t="shared" si="18"/>
        <v>22.68231343262838</v>
      </c>
      <c r="W110" s="298">
        <f t="shared" si="19"/>
        <v>15.597044050006662</v>
      </c>
      <c r="X110" s="52">
        <f t="shared" si="20"/>
        <v>8.2712229155188037</v>
      </c>
      <c r="Y110" s="463">
        <f t="shared" si="21"/>
        <v>0.02</v>
      </c>
      <c r="Z110" s="142">
        <f t="shared" si="22"/>
        <v>7.7760478981301233</v>
      </c>
      <c r="AA110" s="52">
        <f t="shared" si="23"/>
        <v>7.0339336595730364</v>
      </c>
      <c r="AB110" s="44">
        <f t="shared" si="24"/>
        <v>139</v>
      </c>
      <c r="AC110" s="44">
        <f t="shared" si="25"/>
        <v>250</v>
      </c>
      <c r="AD110" s="121">
        <f t="shared" si="28"/>
        <v>425.02879760539929</v>
      </c>
      <c r="AE110" s="121"/>
      <c r="AG110" s="47">
        <v>2048</v>
      </c>
      <c r="AH110" s="140">
        <v>0.1</v>
      </c>
      <c r="AI110" s="197">
        <f t="shared" si="3"/>
        <v>-0.15200309344504995</v>
      </c>
      <c r="AJ110" s="192">
        <v>0.05</v>
      </c>
      <c r="AK110" s="195">
        <f t="shared" si="4"/>
        <v>-7.4000581443776914E-2</v>
      </c>
      <c r="AL110" s="89">
        <v>0</v>
      </c>
      <c r="AM110" s="197">
        <f t="shared" si="5"/>
        <v>0</v>
      </c>
      <c r="AN110" s="354">
        <v>0.11</v>
      </c>
      <c r="AO110" s="197">
        <f t="shared" si="27"/>
        <v>-0.16812275880832692</v>
      </c>
      <c r="AP110" s="356">
        <f t="shared" si="29"/>
        <v>0.47622274241501322</v>
      </c>
    </row>
    <row r="111" spans="1:42" x14ac:dyDescent="0.45">
      <c r="B111" s="34">
        <v>2049</v>
      </c>
      <c r="C111" s="35"/>
      <c r="D111" s="67">
        <f t="shared" si="1"/>
        <v>1035.3075540883815</v>
      </c>
      <c r="E111" s="191">
        <v>0.02</v>
      </c>
      <c r="F111" s="349">
        <f t="shared" si="26"/>
        <v>328.60658287425508</v>
      </c>
      <c r="G111" s="191">
        <v>0.1</v>
      </c>
      <c r="H111" s="26">
        <f t="shared" si="2"/>
        <v>6032.1707753376722</v>
      </c>
      <c r="I111" s="192">
        <v>0.02</v>
      </c>
      <c r="J111" s="185">
        <f t="shared" si="6"/>
        <v>3.386367181151155E-2</v>
      </c>
      <c r="K111" s="44">
        <f t="shared" si="7"/>
        <v>420.55950892075543</v>
      </c>
      <c r="L111" s="44">
        <f t="shared" si="8"/>
        <v>211.52175769870416</v>
      </c>
      <c r="M111" s="44">
        <f t="shared" si="9"/>
        <v>247.31774746310026</v>
      </c>
      <c r="N111" s="44">
        <f t="shared" si="10"/>
        <v>1633.5988056115311</v>
      </c>
      <c r="O111" s="44">
        <f t="shared" si="11"/>
        <v>94.3712457424988</v>
      </c>
      <c r="P111" s="44">
        <f t="shared" si="12"/>
        <v>22.64909897819971</v>
      </c>
      <c r="Q111" s="44">
        <f t="shared" si="13"/>
        <v>219.94014522743996</v>
      </c>
      <c r="R111" s="44">
        <f t="shared" si="14"/>
        <v>37.748498296999529</v>
      </c>
      <c r="S111" s="44">
        <f t="shared" si="15"/>
        <v>75.496996593999057</v>
      </c>
      <c r="T111" s="44">
        <f t="shared" si="16"/>
        <v>956.72918097567731</v>
      </c>
      <c r="U111" s="44">
        <f t="shared" si="17"/>
        <v>26.42394880789967</v>
      </c>
      <c r="V111" s="44">
        <f t="shared" si="18"/>
        <v>22.64909897819971</v>
      </c>
      <c r="W111" s="298">
        <f t="shared" si="19"/>
        <v>15.550166589513394</v>
      </c>
      <c r="X111" s="52">
        <f t="shared" si="20"/>
        <v>8.2591110929124874</v>
      </c>
      <c r="Y111" s="463">
        <f t="shared" si="21"/>
        <v>0.02</v>
      </c>
      <c r="Z111" s="142">
        <f t="shared" si="22"/>
        <v>7.7526767146565341</v>
      </c>
      <c r="AA111" s="52">
        <f t="shared" si="23"/>
        <v>7.0236336401467065</v>
      </c>
      <c r="AB111" s="44">
        <f t="shared" si="24"/>
        <v>139</v>
      </c>
      <c r="AC111" s="44">
        <f t="shared" si="25"/>
        <v>250</v>
      </c>
      <c r="AD111" s="121">
        <f t="shared" si="28"/>
        <v>417.76982165591835</v>
      </c>
      <c r="AE111" s="121"/>
      <c r="AG111" s="47">
        <v>2049</v>
      </c>
      <c r="AH111" s="140">
        <v>0.1</v>
      </c>
      <c r="AI111" s="197">
        <f t="shared" si="3"/>
        <v>-0.15200309344504995</v>
      </c>
      <c r="AJ111" s="192">
        <v>0.05</v>
      </c>
      <c r="AK111" s="195">
        <f t="shared" si="4"/>
        <v>-7.4000581443776914E-2</v>
      </c>
      <c r="AL111" s="89">
        <v>0</v>
      </c>
      <c r="AM111" s="197">
        <f t="shared" si="5"/>
        <v>0</v>
      </c>
      <c r="AN111" s="354">
        <v>0.1</v>
      </c>
      <c r="AO111" s="197">
        <f t="shared" si="27"/>
        <v>-0.15200309344504995</v>
      </c>
      <c r="AP111" s="356">
        <f t="shared" si="29"/>
        <v>0.46808943602904018</v>
      </c>
    </row>
    <row r="112" spans="1:42" ht="14.65" thickBot="1" x14ac:dyDescent="0.5">
      <c r="B112" s="695">
        <v>2050</v>
      </c>
      <c r="C112" s="696"/>
      <c r="D112" s="697">
        <f t="shared" si="1"/>
        <v>1045.6606296292653</v>
      </c>
      <c r="E112" s="698">
        <v>0.01</v>
      </c>
      <c r="F112" s="699">
        <f t="shared" si="26"/>
        <v>361.46724116168065</v>
      </c>
      <c r="G112" s="698">
        <v>0.1</v>
      </c>
      <c r="H112" s="700">
        <f t="shared" si="2"/>
        <v>6092.4924830910486</v>
      </c>
      <c r="I112" s="701">
        <v>0.01</v>
      </c>
      <c r="J112" s="702">
        <f t="shared" si="6"/>
        <v>3.3812492362649889E-2</v>
      </c>
      <c r="K112" s="703">
        <f t="shared" si="7"/>
        <v>419.92390141782721</v>
      </c>
      <c r="L112" s="703">
        <f t="shared" si="8"/>
        <v>211.36606515362482</v>
      </c>
      <c r="M112" s="703">
        <f t="shared" si="9"/>
        <v>247.13570694885365</v>
      </c>
      <c r="N112" s="703">
        <f t="shared" si="10"/>
        <v>1632.3963801095338</v>
      </c>
      <c r="O112" s="703">
        <f t="shared" si="11"/>
        <v>94.301782914694172</v>
      </c>
      <c r="P112" s="703">
        <f t="shared" si="12"/>
        <v>22.632427899526601</v>
      </c>
      <c r="Q112" s="703">
        <f t="shared" si="13"/>
        <v>219.77825625039981</v>
      </c>
      <c r="R112" s="703">
        <f t="shared" si="14"/>
        <v>37.720713165877676</v>
      </c>
      <c r="S112" s="703">
        <f t="shared" si="15"/>
        <v>75.441426331755352</v>
      </c>
      <c r="T112" s="703">
        <f t="shared" si="16"/>
        <v>956.02497161793383</v>
      </c>
      <c r="U112" s="703">
        <f t="shared" si="17"/>
        <v>26.404499216114374</v>
      </c>
      <c r="V112" s="703">
        <f t="shared" si="18"/>
        <v>22.632427899526601</v>
      </c>
      <c r="W112" s="704">
        <f t="shared" si="19"/>
        <v>15.526665034212831</v>
      </c>
      <c r="X112" s="705">
        <f t="shared" si="20"/>
        <v>8.25303189784462</v>
      </c>
      <c r="Y112" s="706">
        <f t="shared" si="21"/>
        <v>0.02</v>
      </c>
      <c r="Z112" s="707">
        <f t="shared" si="22"/>
        <v>7.7409598009187901</v>
      </c>
      <c r="AA112" s="705">
        <f t="shared" si="23"/>
        <v>7.0184638296788071</v>
      </c>
      <c r="AB112" s="703">
        <f t="shared" si="24"/>
        <v>139</v>
      </c>
      <c r="AC112" s="703">
        <f t="shared" si="25"/>
        <v>250</v>
      </c>
      <c r="AD112" s="703">
        <f t="shared" si="28"/>
        <v>411.7610365849178</v>
      </c>
      <c r="AE112" s="703"/>
      <c r="AF112" s="708"/>
      <c r="AG112" s="709">
        <v>2050</v>
      </c>
      <c r="AH112" s="710">
        <v>0.1</v>
      </c>
      <c r="AI112" s="711">
        <f t="shared" si="3"/>
        <v>-0.15200309344504995</v>
      </c>
      <c r="AJ112" s="701">
        <v>0.05</v>
      </c>
      <c r="AK112" s="712">
        <f t="shared" si="4"/>
        <v>-7.4000581443776914E-2</v>
      </c>
      <c r="AL112" s="713">
        <v>0</v>
      </c>
      <c r="AM112" s="711">
        <f t="shared" si="5"/>
        <v>0</v>
      </c>
      <c r="AN112" s="714">
        <v>0.1</v>
      </c>
      <c r="AO112" s="711">
        <f t="shared" si="27"/>
        <v>-0.15200309344504995</v>
      </c>
      <c r="AP112" s="715">
        <f t="shared" si="29"/>
        <v>0.4613569037366026</v>
      </c>
    </row>
    <row r="114" spans="2:42" x14ac:dyDescent="0.45">
      <c r="J114" s="337"/>
      <c r="W114" s="541"/>
      <c r="AD114" s="107"/>
    </row>
    <row r="115" spans="2:42" ht="14.65" thickBot="1" x14ac:dyDescent="0.5">
      <c r="J115" s="293"/>
    </row>
    <row r="116" spans="2:42" ht="14.65" thickBot="1" x14ac:dyDescent="0.5">
      <c r="B116" s="30" t="s">
        <v>93</v>
      </c>
      <c r="C116" s="105"/>
      <c r="D116" s="105"/>
      <c r="E116" s="105"/>
      <c r="F116" s="105"/>
      <c r="G116" s="105"/>
      <c r="H116" s="105"/>
      <c r="I116" s="105"/>
      <c r="J116" s="105"/>
      <c r="K116" s="339">
        <v>400</v>
      </c>
      <c r="L116" s="105"/>
      <c r="M116" s="105"/>
      <c r="N116" s="105"/>
      <c r="O116" s="105"/>
      <c r="P116" s="105"/>
      <c r="Q116" s="105"/>
      <c r="R116" s="105"/>
      <c r="S116" s="105"/>
      <c r="T116" s="105"/>
      <c r="U116" s="105"/>
      <c r="V116" s="105"/>
      <c r="W116" s="105"/>
      <c r="X116" s="105"/>
      <c r="Y116" s="105"/>
      <c r="Z116" s="105"/>
      <c r="AA116" s="105"/>
      <c r="AB116" s="105"/>
      <c r="AC116" s="105"/>
      <c r="AD116" s="105"/>
      <c r="AE116" s="105"/>
      <c r="AF116" s="105"/>
      <c r="AG116" s="105"/>
      <c r="AH116" s="105"/>
      <c r="AI116" s="105"/>
      <c r="AJ116" s="105"/>
      <c r="AK116" s="105"/>
      <c r="AL116" s="105"/>
      <c r="AM116" s="105"/>
      <c r="AN116" s="105"/>
      <c r="AO116" s="105"/>
      <c r="AP116" s="189"/>
    </row>
    <row r="117" spans="2:42" ht="14.65" thickBot="1" x14ac:dyDescent="0.5">
      <c r="B117" s="30" t="s">
        <v>252</v>
      </c>
      <c r="K117" s="172">
        <f>(K85-K97)/K85</f>
        <v>0.28622833283731713</v>
      </c>
      <c r="L117" s="172">
        <f t="shared" ref="L117:AC117" si="30">(L85-L97)/L85</f>
        <v>0.30988009021849594</v>
      </c>
      <c r="M117" s="172">
        <f t="shared" si="30"/>
        <v>0.30988009021849588</v>
      </c>
      <c r="N117" s="172">
        <f t="shared" si="30"/>
        <v>0.309880090218496</v>
      </c>
      <c r="O117" s="172">
        <f t="shared" si="30"/>
        <v>0.309880090218496</v>
      </c>
      <c r="P117" s="172">
        <f t="shared" si="30"/>
        <v>0.30988009021849588</v>
      </c>
      <c r="Q117" s="172">
        <f t="shared" si="30"/>
        <v>0.30988009021849588</v>
      </c>
      <c r="R117" s="172">
        <f t="shared" si="30"/>
        <v>0.309880090218496</v>
      </c>
      <c r="S117" s="172">
        <f t="shared" si="30"/>
        <v>0.309880090218496</v>
      </c>
      <c r="T117" s="172">
        <f t="shared" si="30"/>
        <v>0.30988009021849611</v>
      </c>
      <c r="U117" s="172">
        <f t="shared" si="30"/>
        <v>0.30988009021849583</v>
      </c>
      <c r="V117" s="172">
        <f t="shared" si="30"/>
        <v>0.30988009021849588</v>
      </c>
      <c r="W117" s="172">
        <f t="shared" si="30"/>
        <v>0.45825054143608612</v>
      </c>
      <c r="X117" s="172">
        <f t="shared" si="30"/>
        <v>0.30988009021849566</v>
      </c>
      <c r="Y117" s="172">
        <f t="shared" si="30"/>
        <v>0</v>
      </c>
      <c r="Z117" s="172">
        <f t="shared" si="30"/>
        <v>0.45825054143608607</v>
      </c>
      <c r="AA117" s="172">
        <f t="shared" si="30"/>
        <v>0.30988009021849588</v>
      </c>
      <c r="AB117" s="172">
        <f t="shared" si="30"/>
        <v>0</v>
      </c>
      <c r="AC117" s="172">
        <f t="shared" si="30"/>
        <v>0</v>
      </c>
      <c r="AD117" s="172"/>
    </row>
    <row r="118" spans="2:42" ht="14.65" thickBot="1" x14ac:dyDescent="0.5">
      <c r="B118" s="30" t="s">
        <v>256</v>
      </c>
      <c r="C118" s="339"/>
      <c r="D118" s="339"/>
      <c r="E118" s="339"/>
      <c r="F118" s="339"/>
      <c r="G118" s="339"/>
      <c r="H118" s="339"/>
      <c r="I118" s="339"/>
      <c r="J118" s="339"/>
      <c r="K118" s="363">
        <f t="shared" ref="K118:AC118" si="31">(K85-K112)/K85</f>
        <v>0.36084642097743197</v>
      </c>
      <c r="L118" s="363">
        <f t="shared" si="31"/>
        <v>0.34964287645038516</v>
      </c>
      <c r="M118" s="363">
        <f t="shared" si="31"/>
        <v>0.34964287645038511</v>
      </c>
      <c r="N118" s="363">
        <f t="shared" si="31"/>
        <v>0.34964287645038494</v>
      </c>
      <c r="O118" s="363">
        <f t="shared" si="31"/>
        <v>0.349642876450385</v>
      </c>
      <c r="P118" s="363">
        <f t="shared" si="31"/>
        <v>0.349642876450385</v>
      </c>
      <c r="Q118" s="363">
        <f t="shared" si="31"/>
        <v>0.34964287645038494</v>
      </c>
      <c r="R118" s="363">
        <f t="shared" si="31"/>
        <v>0.34964287645038489</v>
      </c>
      <c r="S118" s="363">
        <f t="shared" si="31"/>
        <v>0.34964287645038489</v>
      </c>
      <c r="T118" s="363">
        <f t="shared" si="31"/>
        <v>0.34964287645038516</v>
      </c>
      <c r="U118" s="363">
        <f t="shared" si="31"/>
        <v>0.34964287645038489</v>
      </c>
      <c r="V118" s="363">
        <f t="shared" si="31"/>
        <v>0.349642876450385</v>
      </c>
      <c r="W118" s="363">
        <f t="shared" si="31"/>
        <v>0.51488533195624264</v>
      </c>
      <c r="X118" s="363">
        <f t="shared" si="31"/>
        <v>0.34964287645038455</v>
      </c>
      <c r="Y118" s="363">
        <f t="shared" si="31"/>
        <v>0</v>
      </c>
      <c r="Z118" s="363">
        <f t="shared" si="31"/>
        <v>0.51488533195624286</v>
      </c>
      <c r="AA118" s="363">
        <f t="shared" si="31"/>
        <v>0.34964287645038494</v>
      </c>
      <c r="AB118" s="363">
        <f t="shared" si="31"/>
        <v>0</v>
      </c>
      <c r="AC118" s="363">
        <f t="shared" si="31"/>
        <v>0</v>
      </c>
      <c r="AD118" s="363">
        <f>(AD97-AD112)/AD97</f>
        <v>0.53864309626339746</v>
      </c>
      <c r="AE118" s="363"/>
      <c r="AF118" s="339"/>
      <c r="AG118" s="339"/>
      <c r="AH118" s="339"/>
      <c r="AI118" s="339"/>
      <c r="AJ118" s="339"/>
      <c r="AK118" s="339"/>
      <c r="AL118" s="339"/>
      <c r="AM118" s="339"/>
      <c r="AN118" s="339"/>
      <c r="AO118" s="339"/>
      <c r="AP118" s="364"/>
    </row>
    <row r="119" spans="2:42" ht="14.65" thickBot="1" x14ac:dyDescent="0.5">
      <c r="B119" s="30" t="s">
        <v>253</v>
      </c>
      <c r="C119" s="444"/>
      <c r="D119" s="444"/>
      <c r="E119" s="444"/>
      <c r="F119" s="444"/>
      <c r="G119" s="444"/>
      <c r="H119" s="444"/>
      <c r="I119" s="444"/>
      <c r="J119" s="444"/>
      <c r="K119" s="363">
        <f>(K97-K112)/K97</f>
        <v>0.10454055767824121</v>
      </c>
      <c r="L119" s="363">
        <f t="shared" ref="L119:AD119" si="32">(L97-L112)/L97</f>
        <v>5.7617213571592746E-2</v>
      </c>
      <c r="M119" s="363">
        <f t="shared" si="32"/>
        <v>5.7617213571592718E-2</v>
      </c>
      <c r="N119" s="363">
        <f t="shared" si="32"/>
        <v>5.7617213571592364E-2</v>
      </c>
      <c r="O119" s="363">
        <f t="shared" si="32"/>
        <v>5.761721357159242E-2</v>
      </c>
      <c r="P119" s="363">
        <f t="shared" si="32"/>
        <v>5.7617213571592565E-2</v>
      </c>
      <c r="Q119" s="363">
        <f t="shared" si="32"/>
        <v>5.7617213571592531E-2</v>
      </c>
      <c r="R119" s="363">
        <f t="shared" si="32"/>
        <v>5.7617213571592274E-2</v>
      </c>
      <c r="S119" s="363">
        <f t="shared" si="32"/>
        <v>5.7617213571592274E-2</v>
      </c>
      <c r="T119" s="363">
        <f t="shared" si="32"/>
        <v>5.7617213571592447E-2</v>
      </c>
      <c r="U119" s="363">
        <f t="shared" si="32"/>
        <v>5.7617213571592517E-2</v>
      </c>
      <c r="V119" s="363">
        <f t="shared" si="32"/>
        <v>5.7617213571592565E-2</v>
      </c>
      <c r="W119" s="363">
        <f t="shared" si="32"/>
        <v>0.10454055767824083</v>
      </c>
      <c r="X119" s="363">
        <f t="shared" si="32"/>
        <v>5.7617213571592177E-2</v>
      </c>
      <c r="Y119" s="363">
        <f t="shared" si="32"/>
        <v>0</v>
      </c>
      <c r="Z119" s="363">
        <f t="shared" si="32"/>
        <v>0.10454055767824107</v>
      </c>
      <c r="AA119" s="363">
        <f t="shared" si="32"/>
        <v>5.7617213571592503E-2</v>
      </c>
      <c r="AB119" s="363">
        <f t="shared" si="32"/>
        <v>0</v>
      </c>
      <c r="AC119" s="363">
        <f t="shared" si="32"/>
        <v>0</v>
      </c>
      <c r="AD119" s="363">
        <f t="shared" si="32"/>
        <v>0.53864309626339746</v>
      </c>
      <c r="AE119" s="363"/>
      <c r="AF119" s="444"/>
      <c r="AG119" s="444"/>
      <c r="AH119" s="444"/>
      <c r="AI119" s="444"/>
      <c r="AJ119" s="444"/>
      <c r="AK119" s="444"/>
      <c r="AL119" s="444"/>
      <c r="AM119" s="444"/>
      <c r="AN119" s="444"/>
      <c r="AO119" s="444"/>
      <c r="AP119" s="364"/>
    </row>
    <row r="120" spans="2:42" ht="14.65" thickBot="1" x14ac:dyDescent="0.5"/>
    <row r="121" spans="2:42" ht="14.65" thickBot="1" x14ac:dyDescent="0.5">
      <c r="B121" s="60" t="s">
        <v>166</v>
      </c>
      <c r="C121" s="33"/>
      <c r="D121" s="33"/>
      <c r="E121" s="33"/>
      <c r="F121" s="33"/>
      <c r="I121" s="17"/>
    </row>
    <row r="122" spans="2:42" ht="14.65" thickBot="1" x14ac:dyDescent="0.5">
      <c r="B122" s="33"/>
      <c r="C122" s="665" t="s">
        <v>167</v>
      </c>
      <c r="D122" s="56" t="s">
        <v>7</v>
      </c>
      <c r="E122" s="669" t="s">
        <v>168</v>
      </c>
      <c r="F122" s="56" t="s">
        <v>25</v>
      </c>
      <c r="G122" s="669" t="s">
        <v>7</v>
      </c>
      <c r="H122" s="56" t="s">
        <v>25</v>
      </c>
      <c r="I122" s="669" t="s">
        <v>303</v>
      </c>
      <c r="J122" s="988" t="s">
        <v>7</v>
      </c>
      <c r="K122" s="989"/>
      <c r="L122" s="56" t="s">
        <v>25</v>
      </c>
    </row>
    <row r="123" spans="2:42" ht="14.65" thickBot="1" x14ac:dyDescent="0.5">
      <c r="B123" s="33"/>
      <c r="C123" s="662" t="s">
        <v>4</v>
      </c>
      <c r="D123" s="71" t="s">
        <v>24</v>
      </c>
      <c r="E123" s="210" t="s">
        <v>4</v>
      </c>
      <c r="F123" s="71" t="s">
        <v>50</v>
      </c>
      <c r="G123" s="664" t="s">
        <v>29</v>
      </c>
      <c r="H123" s="31" t="s">
        <v>29</v>
      </c>
      <c r="I123" s="664"/>
      <c r="J123" s="667" t="s">
        <v>24</v>
      </c>
      <c r="K123" s="668" t="s">
        <v>24</v>
      </c>
      <c r="L123" s="668" t="s">
        <v>50</v>
      </c>
    </row>
    <row r="124" spans="2:42" x14ac:dyDescent="0.45">
      <c r="B124" s="33">
        <v>2008</v>
      </c>
      <c r="C124" s="94">
        <v>115.56307999999996</v>
      </c>
      <c r="D124" s="327">
        <v>1586.1</v>
      </c>
      <c r="E124" s="325">
        <v>1.44245</v>
      </c>
      <c r="F124" s="326">
        <v>0.15129999999999999</v>
      </c>
      <c r="G124" s="374">
        <f t="shared" ref="G124:G138" si="33">D124/$D$139*$G$139</f>
        <v>2.4842847985914047</v>
      </c>
      <c r="H124" s="374">
        <f t="shared" ref="H124:H137" si="34">F124/$F$139*$H$139</f>
        <v>2.1707317073170729</v>
      </c>
      <c r="I124" s="19"/>
      <c r="J124" s="45"/>
      <c r="K124" s="45"/>
      <c r="L124" s="21"/>
    </row>
    <row r="125" spans="2:42" x14ac:dyDescent="0.45">
      <c r="B125" s="33">
        <v>2009</v>
      </c>
      <c r="C125" s="95">
        <v>150.11857299999997</v>
      </c>
      <c r="D125" s="328">
        <v>1459.45</v>
      </c>
      <c r="E125" s="324">
        <v>2.13375</v>
      </c>
      <c r="F125" s="182">
        <v>0.13344999999999999</v>
      </c>
      <c r="G125" s="686">
        <f t="shared" si="33"/>
        <v>2.2859147905581145</v>
      </c>
      <c r="H125" s="686">
        <f t="shared" si="34"/>
        <v>1.9146341463414633</v>
      </c>
      <c r="I125" s="145">
        <f t="shared" ref="I125:I139" si="35">C125/C124</f>
        <v>1.2990184494909622</v>
      </c>
      <c r="J125" s="122">
        <f>(C125/C124)^$K$142*D124</f>
        <v>1415.714726138335</v>
      </c>
      <c r="K125" s="122"/>
      <c r="L125" s="275"/>
      <c r="N125" s="173"/>
    </row>
    <row r="126" spans="2:42" x14ac:dyDescent="0.45">
      <c r="B126" s="33">
        <v>2010</v>
      </c>
      <c r="C126" s="331">
        <v>180.849289</v>
      </c>
      <c r="D126" s="328">
        <v>1306.45</v>
      </c>
      <c r="E126" s="324">
        <v>3.0558000000000005</v>
      </c>
      <c r="F126" s="182">
        <v>0.13685</v>
      </c>
      <c r="G126" s="686">
        <f t="shared" si="33"/>
        <v>2.0462731701152141</v>
      </c>
      <c r="H126" s="686">
        <f t="shared" si="34"/>
        <v>1.9634146341463414</v>
      </c>
      <c r="I126" s="145">
        <f t="shared" si="35"/>
        <v>1.2047096197750298</v>
      </c>
      <c r="J126" s="122">
        <f t="shared" ref="J126:J133" si="36">(C126/C125)^$K$142*J125</f>
        <v>1305.6904151400768</v>
      </c>
      <c r="K126" s="122"/>
      <c r="L126" s="275"/>
      <c r="N126" s="173"/>
    </row>
    <row r="127" spans="2:42" x14ac:dyDescent="0.45">
      <c r="B127" s="33">
        <v>2011</v>
      </c>
      <c r="C127" s="331">
        <v>220.01909000000006</v>
      </c>
      <c r="D127" s="328">
        <v>1338.75</v>
      </c>
      <c r="E127" s="324">
        <v>3.7760599999999998</v>
      </c>
      <c r="F127" s="182">
        <v>0.14874999999999999</v>
      </c>
      <c r="G127" s="686">
        <f t="shared" si="33"/>
        <v>2.0968641788753817</v>
      </c>
      <c r="H127" s="686">
        <f t="shared" si="34"/>
        <v>2.1341463414634148</v>
      </c>
      <c r="I127" s="145">
        <f t="shared" si="35"/>
        <v>1.2165880840150831</v>
      </c>
      <c r="J127" s="122">
        <f t="shared" si="36"/>
        <v>1199.0950600551107</v>
      </c>
      <c r="K127" s="122"/>
      <c r="L127" s="275"/>
      <c r="N127" s="173"/>
    </row>
    <row r="128" spans="2:42" x14ac:dyDescent="0.45">
      <c r="B128" s="33">
        <v>2012</v>
      </c>
      <c r="C128" s="331">
        <v>266.90755000000001</v>
      </c>
      <c r="D128" s="328">
        <v>1248.6499999999999</v>
      </c>
      <c r="E128" s="324">
        <v>5.3343999999999996</v>
      </c>
      <c r="F128" s="182">
        <v>0.13089999999999999</v>
      </c>
      <c r="G128" s="686">
        <f t="shared" si="33"/>
        <v>1.955741891281229</v>
      </c>
      <c r="H128" s="686">
        <f t="shared" si="34"/>
        <v>1.8780487804878048</v>
      </c>
      <c r="I128" s="145">
        <f t="shared" si="35"/>
        <v>1.2131108714248384</v>
      </c>
      <c r="J128" s="122">
        <f t="shared" si="36"/>
        <v>1102.5721082816883</v>
      </c>
      <c r="K128" s="122"/>
      <c r="L128" s="275"/>
      <c r="N128" s="173"/>
    </row>
    <row r="129" spans="2:14" x14ac:dyDescent="0.45">
      <c r="B129" s="33">
        <v>2013</v>
      </c>
      <c r="C129" s="331">
        <v>299.91860500000007</v>
      </c>
      <c r="D129" s="328">
        <v>1212.0999999999999</v>
      </c>
      <c r="E129" s="324">
        <v>7.1711999999999998</v>
      </c>
      <c r="F129" s="182">
        <v>0.15045</v>
      </c>
      <c r="G129" s="686">
        <f t="shared" si="33"/>
        <v>1.8984941708420915</v>
      </c>
      <c r="H129" s="686">
        <f t="shared" si="34"/>
        <v>2.1585365853658538</v>
      </c>
      <c r="I129" s="145">
        <f t="shared" si="35"/>
        <v>1.1236797347995591</v>
      </c>
      <c r="J129" s="122">
        <f t="shared" si="36"/>
        <v>1048.1121025987054</v>
      </c>
      <c r="K129" s="122"/>
      <c r="L129" s="275"/>
      <c r="N129" s="173"/>
    </row>
    <row r="130" spans="2:14" x14ac:dyDescent="0.45">
      <c r="B130" s="33">
        <v>2014</v>
      </c>
      <c r="C130" s="331">
        <v>349.29990700000008</v>
      </c>
      <c r="D130" s="328">
        <v>1085.45</v>
      </c>
      <c r="E130" s="324">
        <v>8.49207</v>
      </c>
      <c r="F130" s="182">
        <v>0.15554999999999999</v>
      </c>
      <c r="G130" s="686">
        <f t="shared" si="33"/>
        <v>1.7001241628088017</v>
      </c>
      <c r="H130" s="686">
        <f t="shared" si="34"/>
        <v>2.2317073170731705</v>
      </c>
      <c r="I130" s="145">
        <f t="shared" si="35"/>
        <v>1.1646490120211115</v>
      </c>
      <c r="J130" s="122">
        <f t="shared" si="36"/>
        <v>980.96251829239975</v>
      </c>
      <c r="K130" s="122"/>
      <c r="L130" s="275"/>
      <c r="N130" s="173"/>
    </row>
    <row r="131" spans="2:14" x14ac:dyDescent="0.45">
      <c r="B131" s="33">
        <v>2015</v>
      </c>
      <c r="C131" s="331">
        <v>416.24831700000027</v>
      </c>
      <c r="D131" s="328">
        <v>927.35</v>
      </c>
      <c r="E131" s="324">
        <v>11.71747</v>
      </c>
      <c r="F131" s="182">
        <v>0.14365</v>
      </c>
      <c r="G131" s="686">
        <f t="shared" si="33"/>
        <v>1.4524944883511375</v>
      </c>
      <c r="H131" s="686">
        <f t="shared" si="34"/>
        <v>2.0609756097560976</v>
      </c>
      <c r="I131" s="145">
        <f t="shared" si="35"/>
        <v>1.1916645514595003</v>
      </c>
      <c r="J131" s="122">
        <f t="shared" si="36"/>
        <v>909.01467004007213</v>
      </c>
      <c r="K131" s="122">
        <v>927</v>
      </c>
      <c r="L131" s="275">
        <v>0.14399999999999999</v>
      </c>
    </row>
    <row r="132" spans="2:14" x14ac:dyDescent="0.45">
      <c r="B132" s="33">
        <v>2016</v>
      </c>
      <c r="C132" s="331">
        <v>466.86423000000019</v>
      </c>
      <c r="D132" s="328">
        <v>903.55</v>
      </c>
      <c r="E132" s="324">
        <v>14.341849999999997</v>
      </c>
      <c r="F132" s="182">
        <v>0.12409999999999999</v>
      </c>
      <c r="G132" s="686">
        <f t="shared" si="33"/>
        <v>1.4152169029489083</v>
      </c>
      <c r="H132" s="686">
        <f t="shared" si="34"/>
        <v>1.7804878048780486</v>
      </c>
      <c r="I132" s="145">
        <f t="shared" si="35"/>
        <v>1.1216002826505118</v>
      </c>
      <c r="J132" s="122">
        <f t="shared" si="36"/>
        <v>864.81074376874108</v>
      </c>
      <c r="K132" s="122">
        <f t="shared" ref="K132:K139" si="37">(C132/C131)^$D$142*K131</f>
        <v>902.39032221864773</v>
      </c>
      <c r="L132" s="275">
        <f t="shared" ref="L132:L139" si="38">(E131/E130)^$L$142*L131</f>
        <v>0.12728409606273863</v>
      </c>
    </row>
    <row r="133" spans="2:14" x14ac:dyDescent="0.45">
      <c r="B133" s="33">
        <v>2017</v>
      </c>
      <c r="C133" s="95">
        <v>514.37380000000007</v>
      </c>
      <c r="D133" s="328">
        <v>795.6</v>
      </c>
      <c r="E133" s="324">
        <v>18.836749999999999</v>
      </c>
      <c r="F133" s="182">
        <v>0.11135</v>
      </c>
      <c r="G133" s="686">
        <f t="shared" si="33"/>
        <v>1.2461364263030841</v>
      </c>
      <c r="H133" s="686">
        <f t="shared" si="34"/>
        <v>1.5975609756097562</v>
      </c>
      <c r="I133" s="145">
        <f t="shared" si="35"/>
        <v>1.1017631400032508</v>
      </c>
      <c r="J133" s="122">
        <f t="shared" si="36"/>
        <v>829.15901424324818</v>
      </c>
      <c r="K133" s="122">
        <f t="shared" si="37"/>
        <v>882.11701553391322</v>
      </c>
      <c r="L133" s="275">
        <f t="shared" si="38"/>
        <v>0.11779704205283825</v>
      </c>
    </row>
    <row r="134" spans="2:14" x14ac:dyDescent="0.45">
      <c r="B134" s="33">
        <v>2018</v>
      </c>
      <c r="C134" s="95">
        <v>563.8298530000003</v>
      </c>
      <c r="D134" s="328">
        <v>762.44999999999993</v>
      </c>
      <c r="E134" s="324">
        <v>23.625599999999995</v>
      </c>
      <c r="F134" s="182">
        <v>0.10795</v>
      </c>
      <c r="G134" s="686">
        <f t="shared" si="33"/>
        <v>1.1942140752071222</v>
      </c>
      <c r="H134" s="686">
        <f t="shared" si="34"/>
        <v>1.5487804878048781</v>
      </c>
      <c r="I134" s="145">
        <f t="shared" si="35"/>
        <v>1.0961480794706111</v>
      </c>
      <c r="J134" s="122">
        <v>762</v>
      </c>
      <c r="K134" s="122">
        <f t="shared" si="37"/>
        <v>863.33281966678817</v>
      </c>
      <c r="L134" s="275">
        <f t="shared" si="38"/>
        <v>0.10610977534593653</v>
      </c>
    </row>
    <row r="135" spans="2:14" x14ac:dyDescent="0.45">
      <c r="B135" s="33">
        <v>2019</v>
      </c>
      <c r="C135" s="95">
        <v>622.2488470000003</v>
      </c>
      <c r="D135" s="328">
        <v>709</v>
      </c>
      <c r="E135" s="324">
        <v>28.354733</v>
      </c>
      <c r="F135" s="182">
        <v>9.7750000000000004E-2</v>
      </c>
      <c r="G135" s="686">
        <f t="shared" si="33"/>
        <v>1.1104961365622004</v>
      </c>
      <c r="H135" s="686">
        <f t="shared" si="34"/>
        <v>1.402439024390244</v>
      </c>
      <c r="I135" s="145">
        <f t="shared" si="35"/>
        <v>1.1036110338769167</v>
      </c>
      <c r="J135" s="122">
        <f>(C135/C134)^$K$142*J134</f>
        <v>730.05497577991309</v>
      </c>
      <c r="K135" s="122">
        <f t="shared" si="37"/>
        <v>843.60545376847153</v>
      </c>
      <c r="L135" s="275">
        <f t="shared" si="38"/>
        <v>9.7286122197869557E-2</v>
      </c>
    </row>
    <row r="136" spans="2:14" x14ac:dyDescent="0.45">
      <c r="B136" s="33">
        <v>2020</v>
      </c>
      <c r="C136" s="95">
        <v>731</v>
      </c>
      <c r="D136" s="329">
        <f>(C136/C135)^$D$142*D135</f>
        <v>682.72313929008385</v>
      </c>
      <c r="E136" s="332">
        <v>34.808099999999996</v>
      </c>
      <c r="F136" s="182">
        <v>0.10795</v>
      </c>
      <c r="G136" s="686">
        <f t="shared" si="33"/>
        <v>1.0693390811329408</v>
      </c>
      <c r="H136" s="686">
        <f t="shared" si="34"/>
        <v>1.5487804878048781</v>
      </c>
      <c r="I136" s="145">
        <f t="shared" si="35"/>
        <v>1.1747711603232582</v>
      </c>
      <c r="J136" s="122">
        <f>(C136/C135)^$J$142*J135</f>
        <v>702.99777844683831</v>
      </c>
      <c r="K136" s="122">
        <f t="shared" si="37"/>
        <v>812.33986420175813</v>
      </c>
      <c r="L136" s="275">
        <f t="shared" si="38"/>
        <v>9.0715157939075891E-2</v>
      </c>
    </row>
    <row r="137" spans="2:14" x14ac:dyDescent="0.45">
      <c r="B137" s="33">
        <v>2021</v>
      </c>
      <c r="C137" s="329">
        <f>H83</f>
        <v>804.1</v>
      </c>
      <c r="D137" s="329">
        <f>(C137/C136)^$D$142*D136</f>
        <v>667.6355842750977</v>
      </c>
      <c r="E137" s="332">
        <v>44.308099999999996</v>
      </c>
      <c r="F137" s="182">
        <v>0.11815000000000001</v>
      </c>
      <c r="G137" s="686">
        <f t="shared" si="33"/>
        <v>1.0457076685034461</v>
      </c>
      <c r="H137" s="686">
        <f t="shared" si="34"/>
        <v>1.6951219512195124</v>
      </c>
      <c r="I137" s="145">
        <f t="shared" si="35"/>
        <v>1.1000000000000001</v>
      </c>
      <c r="J137" s="122">
        <f>(C137/C136)^$J$142*J136</f>
        <v>687.46217250742529</v>
      </c>
      <c r="K137" s="122">
        <f t="shared" si="37"/>
        <v>794.38789848289468</v>
      </c>
      <c r="L137" s="275">
        <f t="shared" si="38"/>
        <v>8.3858716023012606E-2</v>
      </c>
    </row>
    <row r="138" spans="2:14" x14ac:dyDescent="0.45">
      <c r="B138" s="33">
        <v>2022</v>
      </c>
      <c r="C138" s="329">
        <f>H84</f>
        <v>884.5100000000001</v>
      </c>
      <c r="D138" s="329">
        <f>(C138/C137)^$D$142*D137</f>
        <v>652.88145038388791</v>
      </c>
      <c r="E138" s="332">
        <v>53.308099999999996</v>
      </c>
      <c r="F138" s="182">
        <v>8.2449999999999996E-2</v>
      </c>
      <c r="G138" s="686">
        <f t="shared" si="33"/>
        <v>1.022598488412459</v>
      </c>
      <c r="H138" s="686">
        <f>F138/$F$139*$H$139</f>
        <v>1.1829268292682926</v>
      </c>
      <c r="I138" s="145">
        <f t="shared" si="35"/>
        <v>1.1000000000000001</v>
      </c>
      <c r="J138" s="122">
        <f>(C138/C137)^$J$142*J137</f>
        <v>672.26988920615486</v>
      </c>
      <c r="K138" s="122">
        <f t="shared" si="37"/>
        <v>776.83265473641404</v>
      </c>
      <c r="L138" s="275">
        <f t="shared" si="38"/>
        <v>7.6450593975181599E-2</v>
      </c>
    </row>
    <row r="139" spans="2:14" ht="14.65" thickBot="1" x14ac:dyDescent="0.5">
      <c r="B139" s="33">
        <v>2023</v>
      </c>
      <c r="C139" s="330">
        <f>H85</f>
        <v>972.96100000000024</v>
      </c>
      <c r="D139" s="330">
        <f>(C139/C138)^$D$142*D138</f>
        <v>638.45336931551583</v>
      </c>
      <c r="E139" s="333">
        <v>62.308099999999996</v>
      </c>
      <c r="F139" s="183">
        <v>6.9699999999999998E-2</v>
      </c>
      <c r="G139" s="687">
        <v>1</v>
      </c>
      <c r="H139" s="687">
        <v>1</v>
      </c>
      <c r="I139" s="146">
        <f t="shared" si="35"/>
        <v>1.1000000000000001</v>
      </c>
      <c r="J139" s="42">
        <f>(C139/C138)^$J$142*J138</f>
        <v>657.41334142770484</v>
      </c>
      <c r="K139" s="42">
        <f t="shared" si="37"/>
        <v>759.66536577069849</v>
      </c>
      <c r="L139" s="688">
        <f t="shared" si="38"/>
        <v>7.1219799877155876E-2</v>
      </c>
    </row>
    <row r="140" spans="2:14" ht="14.65" thickBot="1" x14ac:dyDescent="0.5"/>
    <row r="141" spans="2:14" x14ac:dyDescent="0.45">
      <c r="C141" s="19" t="s">
        <v>44</v>
      </c>
      <c r="D141" s="374">
        <v>0.15</v>
      </c>
      <c r="E141" s="20"/>
      <c r="F141" s="20"/>
      <c r="G141" s="20"/>
      <c r="H141" s="20"/>
      <c r="I141" s="20"/>
      <c r="J141" s="374">
        <v>0.15</v>
      </c>
      <c r="K141" s="689">
        <v>0.26</v>
      </c>
      <c r="L141" s="374">
        <v>0.23330000000000001</v>
      </c>
    </row>
    <row r="142" spans="2:14" ht="14.65" thickBot="1" x14ac:dyDescent="0.5">
      <c r="C142" s="28" t="s">
        <v>70</v>
      </c>
      <c r="D142" s="97">
        <f>LOG(1-D141)/LOG(2)</f>
        <v>-0.234465253637023</v>
      </c>
      <c r="E142" s="68"/>
      <c r="F142" s="68"/>
      <c r="G142" s="68"/>
      <c r="H142" s="68"/>
      <c r="I142" s="68"/>
      <c r="J142" s="97">
        <f>LOG(1-J141)/LOG(2)</f>
        <v>-0.234465253637023</v>
      </c>
      <c r="K142" s="690">
        <f>LOG(1-K141)/LOG(2)</f>
        <v>-0.43440282414577497</v>
      </c>
      <c r="L142" s="97">
        <f>LOG(1-L141)/LOG(2)</f>
        <v>-0.38326591504372914</v>
      </c>
    </row>
    <row r="145" spans="2:5" ht="14.65" thickBot="1" x14ac:dyDescent="0.5"/>
    <row r="146" spans="2:5" ht="14.65" thickBot="1" x14ac:dyDescent="0.5">
      <c r="B146" s="38" t="s">
        <v>302</v>
      </c>
      <c r="C146" s="61"/>
      <c r="D146" s="62"/>
    </row>
    <row r="147" spans="2:5" x14ac:dyDescent="0.45">
      <c r="B147" s="681">
        <v>2008</v>
      </c>
      <c r="C147" s="160">
        <v>115.56307999999996</v>
      </c>
      <c r="D147" s="21"/>
    </row>
    <row r="148" spans="2:5" x14ac:dyDescent="0.45">
      <c r="B148" s="682">
        <v>2009</v>
      </c>
      <c r="C148" s="103">
        <v>150.11857299999997</v>
      </c>
      <c r="D148" s="396">
        <f>C148/C147-100%</f>
        <v>0.29901844949096223</v>
      </c>
    </row>
    <row r="149" spans="2:5" x14ac:dyDescent="0.45">
      <c r="B149" s="682">
        <v>2010</v>
      </c>
      <c r="C149" s="103">
        <v>180.849289</v>
      </c>
      <c r="D149" s="396">
        <f t="shared" ref="D149:D159" si="39">C149/C148-100%</f>
        <v>0.20470961977502977</v>
      </c>
    </row>
    <row r="150" spans="2:5" x14ac:dyDescent="0.45">
      <c r="B150" s="682">
        <v>2011</v>
      </c>
      <c r="C150" s="103">
        <v>220.01909000000006</v>
      </c>
      <c r="D150" s="396">
        <f t="shared" si="39"/>
        <v>0.21658808401508312</v>
      </c>
    </row>
    <row r="151" spans="2:5" x14ac:dyDescent="0.45">
      <c r="B151" s="682">
        <v>2012</v>
      </c>
      <c r="C151" s="103">
        <v>266.90755000000001</v>
      </c>
      <c r="D151" s="396">
        <f t="shared" si="39"/>
        <v>0.21311087142483842</v>
      </c>
    </row>
    <row r="152" spans="2:5" x14ac:dyDescent="0.45">
      <c r="B152" s="682">
        <v>2013</v>
      </c>
      <c r="C152" s="103">
        <v>299.91860500000007</v>
      </c>
      <c r="D152" s="396">
        <f t="shared" si="39"/>
        <v>0.12367973479955907</v>
      </c>
    </row>
    <row r="153" spans="2:5" x14ac:dyDescent="0.45">
      <c r="B153" s="682">
        <v>2014</v>
      </c>
      <c r="C153" s="103">
        <v>349.29990700000008</v>
      </c>
      <c r="D153" s="396">
        <f t="shared" si="39"/>
        <v>0.16464901202111148</v>
      </c>
    </row>
    <row r="154" spans="2:5" x14ac:dyDescent="0.45">
      <c r="B154" s="682">
        <v>2015</v>
      </c>
      <c r="C154" s="103">
        <v>416.24831700000027</v>
      </c>
      <c r="D154" s="396">
        <f t="shared" si="39"/>
        <v>0.19166455145950034</v>
      </c>
    </row>
    <row r="155" spans="2:5" x14ac:dyDescent="0.45">
      <c r="B155" s="682">
        <v>2016</v>
      </c>
      <c r="C155" s="103">
        <v>466.86423000000019</v>
      </c>
      <c r="D155" s="396">
        <f t="shared" si="39"/>
        <v>0.12160028265051182</v>
      </c>
    </row>
    <row r="156" spans="2:5" x14ac:dyDescent="0.45">
      <c r="B156" s="682">
        <v>2017</v>
      </c>
      <c r="C156" s="103">
        <v>514.37380000000007</v>
      </c>
      <c r="D156" s="396">
        <f t="shared" si="39"/>
        <v>0.10176314000325082</v>
      </c>
    </row>
    <row r="157" spans="2:5" x14ac:dyDescent="0.45">
      <c r="B157" s="682">
        <v>2018</v>
      </c>
      <c r="C157" s="103">
        <v>563.8298530000003</v>
      </c>
      <c r="D157" s="396">
        <f t="shared" si="39"/>
        <v>9.6148079470611103E-2</v>
      </c>
    </row>
    <row r="158" spans="2:5" x14ac:dyDescent="0.45">
      <c r="B158" s="682">
        <v>2019</v>
      </c>
      <c r="C158" s="103">
        <v>622.2488470000003</v>
      </c>
      <c r="D158" s="396">
        <f t="shared" si="39"/>
        <v>0.10361103387691672</v>
      </c>
    </row>
    <row r="159" spans="2:5" x14ac:dyDescent="0.45">
      <c r="B159" s="682">
        <v>2020</v>
      </c>
      <c r="C159" s="33">
        <v>731</v>
      </c>
      <c r="D159" s="396">
        <f t="shared" si="39"/>
        <v>0.17477116032325823</v>
      </c>
    </row>
    <row r="160" spans="2:5" x14ac:dyDescent="0.45">
      <c r="B160" s="682">
        <v>2021</v>
      </c>
      <c r="C160" s="683">
        <f>C159*(1+D160)</f>
        <v>804.1</v>
      </c>
      <c r="D160" s="191">
        <v>0.1</v>
      </c>
      <c r="E160" s="6"/>
    </row>
    <row r="161" spans="2:5" x14ac:dyDescent="0.45">
      <c r="B161" s="682">
        <v>2022</v>
      </c>
      <c r="C161" s="683">
        <f t="shared" ref="C161:C189" si="40">C160*(1+D161)</f>
        <v>884.5100000000001</v>
      </c>
      <c r="D161" s="191">
        <v>0.1</v>
      </c>
    </row>
    <row r="162" spans="2:5" x14ac:dyDescent="0.45">
      <c r="B162" s="682">
        <v>2023</v>
      </c>
      <c r="C162" s="683">
        <f t="shared" si="40"/>
        <v>972.96100000000024</v>
      </c>
      <c r="D162" s="191">
        <v>0.1</v>
      </c>
    </row>
    <row r="163" spans="2:5" x14ac:dyDescent="0.45">
      <c r="B163" s="682">
        <v>2024</v>
      </c>
      <c r="C163" s="683">
        <f t="shared" si="40"/>
        <v>1070.2571000000003</v>
      </c>
      <c r="D163" s="191">
        <v>0.1</v>
      </c>
    </row>
    <row r="164" spans="2:5" x14ac:dyDescent="0.45">
      <c r="B164" s="682">
        <v>2025</v>
      </c>
      <c r="C164" s="683">
        <f t="shared" si="40"/>
        <v>1177.2828100000004</v>
      </c>
      <c r="D164" s="191">
        <v>0.1</v>
      </c>
    </row>
    <row r="165" spans="2:5" x14ac:dyDescent="0.45">
      <c r="B165" s="682">
        <v>2026</v>
      </c>
      <c r="C165" s="683">
        <f t="shared" si="40"/>
        <v>1295.0110910000005</v>
      </c>
      <c r="D165" s="191">
        <v>0.1</v>
      </c>
    </row>
    <row r="166" spans="2:5" x14ac:dyDescent="0.45">
      <c r="B166" s="682">
        <v>2027</v>
      </c>
      <c r="C166" s="683">
        <f t="shared" si="40"/>
        <v>1424.5122001000007</v>
      </c>
      <c r="D166" s="191">
        <v>0.1</v>
      </c>
    </row>
    <row r="167" spans="2:5" x14ac:dyDescent="0.45">
      <c r="B167" s="682">
        <v>2028</v>
      </c>
      <c r="C167" s="683">
        <f t="shared" si="40"/>
        <v>1566.9634201100009</v>
      </c>
      <c r="D167" s="191">
        <v>0.1</v>
      </c>
    </row>
    <row r="168" spans="2:5" x14ac:dyDescent="0.45">
      <c r="B168" s="682">
        <v>2029</v>
      </c>
      <c r="C168" s="683">
        <f t="shared" si="40"/>
        <v>1723.6597621210012</v>
      </c>
      <c r="D168" s="191">
        <v>0.1</v>
      </c>
    </row>
    <row r="169" spans="2:5" x14ac:dyDescent="0.45">
      <c r="B169" s="682">
        <v>2030</v>
      </c>
      <c r="C169" s="683">
        <f t="shared" si="40"/>
        <v>1896.0257383331016</v>
      </c>
      <c r="D169" s="191">
        <v>0.1</v>
      </c>
    </row>
    <row r="170" spans="2:5" x14ac:dyDescent="0.45">
      <c r="B170" s="682">
        <v>2031</v>
      </c>
      <c r="C170" s="683">
        <f t="shared" si="40"/>
        <v>2085.6283121664119</v>
      </c>
      <c r="D170" s="191">
        <v>0.1</v>
      </c>
    </row>
    <row r="171" spans="2:5" x14ac:dyDescent="0.45">
      <c r="B171" s="682">
        <v>2032</v>
      </c>
      <c r="C171" s="683">
        <f t="shared" si="40"/>
        <v>2294.1911433830533</v>
      </c>
      <c r="D171" s="191">
        <v>0.1</v>
      </c>
    </row>
    <row r="172" spans="2:5" x14ac:dyDescent="0.45">
      <c r="B172" s="682">
        <v>2033</v>
      </c>
      <c r="C172" s="683">
        <f t="shared" si="40"/>
        <v>2523.6102577213587</v>
      </c>
      <c r="D172" s="191">
        <v>0.1</v>
      </c>
    </row>
    <row r="173" spans="2:5" x14ac:dyDescent="0.45">
      <c r="B173" s="682">
        <v>2034</v>
      </c>
      <c r="C173" s="683">
        <f t="shared" si="40"/>
        <v>2775.9712834934949</v>
      </c>
      <c r="D173" s="191">
        <v>0.1</v>
      </c>
    </row>
    <row r="174" spans="2:5" x14ac:dyDescent="0.45">
      <c r="B174" s="682">
        <v>2035</v>
      </c>
      <c r="C174" s="683">
        <f t="shared" si="40"/>
        <v>2914.7698476681699</v>
      </c>
      <c r="D174" s="191">
        <v>0.05</v>
      </c>
      <c r="E174" s="6"/>
    </row>
    <row r="175" spans="2:5" x14ac:dyDescent="0.45">
      <c r="B175" s="682">
        <v>2036</v>
      </c>
      <c r="C175" s="683">
        <f t="shared" si="40"/>
        <v>3060.5083400515787</v>
      </c>
      <c r="D175" s="191">
        <v>0.05</v>
      </c>
    </row>
    <row r="176" spans="2:5" x14ac:dyDescent="0.45">
      <c r="B176" s="682">
        <v>2037</v>
      </c>
      <c r="C176" s="683">
        <f t="shared" si="40"/>
        <v>3213.5337570541578</v>
      </c>
      <c r="D176" s="191">
        <v>0.05</v>
      </c>
    </row>
    <row r="177" spans="2:4" x14ac:dyDescent="0.45">
      <c r="B177" s="682">
        <v>2038</v>
      </c>
      <c r="C177" s="683">
        <f t="shared" si="40"/>
        <v>3374.2104449068661</v>
      </c>
      <c r="D177" s="191">
        <v>0.05</v>
      </c>
    </row>
    <row r="178" spans="2:4" x14ac:dyDescent="0.45">
      <c r="B178" s="682">
        <v>2039</v>
      </c>
      <c r="C178" s="683">
        <f t="shared" si="40"/>
        <v>3542.9209671522094</v>
      </c>
      <c r="D178" s="191">
        <v>0.05</v>
      </c>
    </row>
    <row r="179" spans="2:4" x14ac:dyDescent="0.45">
      <c r="B179" s="682">
        <v>2040</v>
      </c>
      <c r="C179" s="683">
        <f t="shared" si="40"/>
        <v>3720.0670155098201</v>
      </c>
      <c r="D179" s="191">
        <v>0.05</v>
      </c>
    </row>
    <row r="180" spans="2:4" x14ac:dyDescent="0.45">
      <c r="B180" s="682">
        <v>2041</v>
      </c>
      <c r="C180" s="683">
        <f t="shared" si="40"/>
        <v>3906.0703662853111</v>
      </c>
      <c r="D180" s="191">
        <v>0.05</v>
      </c>
    </row>
    <row r="181" spans="2:4" x14ac:dyDescent="0.45">
      <c r="B181" s="682">
        <v>2042</v>
      </c>
      <c r="C181" s="683">
        <f t="shared" si="40"/>
        <v>4101.3738845995767</v>
      </c>
      <c r="D181" s="191">
        <v>0.05</v>
      </c>
    </row>
    <row r="182" spans="2:4" x14ac:dyDescent="0.45">
      <c r="B182" s="682">
        <v>2043</v>
      </c>
      <c r="C182" s="683">
        <f t="shared" si="40"/>
        <v>4306.4425788295557</v>
      </c>
      <c r="D182" s="191">
        <v>0.05</v>
      </c>
    </row>
    <row r="183" spans="2:4" x14ac:dyDescent="0.45">
      <c r="B183" s="682">
        <v>2044</v>
      </c>
      <c r="C183" s="683">
        <f t="shared" si="40"/>
        <v>4521.7647077710335</v>
      </c>
      <c r="D183" s="191">
        <v>0.05</v>
      </c>
    </row>
    <row r="184" spans="2:4" x14ac:dyDescent="0.45">
      <c r="B184" s="682">
        <v>2045</v>
      </c>
      <c r="C184" s="683">
        <f t="shared" si="40"/>
        <v>4747.8529431595853</v>
      </c>
      <c r="D184" s="191">
        <v>0.05</v>
      </c>
    </row>
    <row r="185" spans="2:4" x14ac:dyDescent="0.45">
      <c r="B185" s="682">
        <v>2046</v>
      </c>
      <c r="C185" s="683">
        <f t="shared" si="40"/>
        <v>4985.2455903175651</v>
      </c>
      <c r="D185" s="191">
        <v>0.05</v>
      </c>
    </row>
    <row r="186" spans="2:4" x14ac:dyDescent="0.45">
      <c r="B186" s="682">
        <v>2047</v>
      </c>
      <c r="C186" s="683">
        <f t="shared" si="40"/>
        <v>5234.5078698334437</v>
      </c>
      <c r="D186" s="191">
        <v>0.05</v>
      </c>
    </row>
    <row r="187" spans="2:4" x14ac:dyDescent="0.45">
      <c r="B187" s="682">
        <v>2048</v>
      </c>
      <c r="C187" s="683">
        <f t="shared" si="40"/>
        <v>5496.2332633251162</v>
      </c>
      <c r="D187" s="191">
        <v>0.05</v>
      </c>
    </row>
    <row r="188" spans="2:4" x14ac:dyDescent="0.45">
      <c r="B188" s="682">
        <v>2049</v>
      </c>
      <c r="C188" s="683">
        <f t="shared" si="40"/>
        <v>5771.0449264913723</v>
      </c>
      <c r="D188" s="191">
        <v>0.05</v>
      </c>
    </row>
    <row r="189" spans="2:4" ht="14.65" thickBot="1" x14ac:dyDescent="0.5">
      <c r="B189" s="684">
        <v>2050</v>
      </c>
      <c r="C189" s="685">
        <f t="shared" si="40"/>
        <v>6059.5971728159411</v>
      </c>
      <c r="D189" s="193">
        <v>0.05</v>
      </c>
    </row>
    <row r="190" spans="2:4" x14ac:dyDescent="0.45">
      <c r="B190" s="334"/>
      <c r="D190" s="6"/>
    </row>
    <row r="191" spans="2:4" x14ac:dyDescent="0.45">
      <c r="B191" t="s">
        <v>169</v>
      </c>
    </row>
  </sheetData>
  <mergeCells count="13">
    <mergeCell ref="J122:K122"/>
    <mergeCell ref="W65:Y65"/>
    <mergeCell ref="AL68:AM68"/>
    <mergeCell ref="AN68:AP68"/>
    <mergeCell ref="D39:E39"/>
    <mergeCell ref="AH68:AI68"/>
    <mergeCell ref="AJ68:AK68"/>
    <mergeCell ref="K65:P65"/>
    <mergeCell ref="R65:V65"/>
    <mergeCell ref="D66:E66"/>
    <mergeCell ref="H66:I66"/>
    <mergeCell ref="F66:G66"/>
    <mergeCell ref="Z65:AA65"/>
  </mergeCells>
  <pageMargins left="0.7" right="0.7" top="0.75" bottom="0.75" header="0.3" footer="0.3"/>
  <pageSetup paperSize="9" orientation="portrait" r:id="rId1"/>
  <ignoredErrors>
    <ignoredError sqref="K86:K112" formula="1"/>
  </ignoredErrors>
  <drawing r:id="rId2"/>
  <legacyDrawing r:id="rId3"/>
</worksheet>
</file>

<file path=xl/worksheets/sheet4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9E3CE03D-2858-4F86-A8F5-95D50F3BA4BF}">
  <sheetPr codeName="Blad1"/>
  <dimension ref="B1:AD297"/>
  <sheetViews>
    <sheetView tabSelected="1" topLeftCell="A31" workbookViewId="0">
      <selection activeCell="L45" sqref="L45"/>
    </sheetView>
  </sheetViews>
  <sheetFormatPr defaultRowHeight="14.25" x14ac:dyDescent="0.45"/>
  <cols>
    <col min="1" max="1" width="3.59765625" customWidth="1"/>
    <col min="2" max="2" width="3.86328125" customWidth="1"/>
    <col min="4" max="4" width="39.59765625" customWidth="1"/>
    <col min="5" max="5" width="13.1328125" customWidth="1"/>
    <col min="6" max="6" width="12.73046875" bestFit="1" customWidth="1"/>
    <col min="7" max="16" width="12.86328125" bestFit="1" customWidth="1"/>
    <col min="17" max="17" width="16.86328125" bestFit="1" customWidth="1"/>
    <col min="18" max="21" width="12.59765625" bestFit="1" customWidth="1"/>
    <col min="22" max="23" width="13.73046875" bestFit="1" customWidth="1"/>
    <col min="24" max="35" width="10.59765625" bestFit="1" customWidth="1"/>
  </cols>
  <sheetData>
    <row r="1" spans="4:17" ht="14.65" thickBot="1" x14ac:dyDescent="0.5"/>
    <row r="2" spans="4:17" ht="20.25" customHeight="1" thickBot="1" x14ac:dyDescent="0.5">
      <c r="D2" s="908" t="s">
        <v>371</v>
      </c>
    </row>
    <row r="3" spans="4:17" ht="14.65" thickBot="1" x14ac:dyDescent="0.5"/>
    <row r="4" spans="4:17" ht="14.65" thickBot="1" x14ac:dyDescent="0.5">
      <c r="D4" s="856" t="s">
        <v>22</v>
      </c>
      <c r="E4" s="31">
        <f>IF(F4=3,2050,IF(F4=2,2040,2030))</f>
        <v>2050</v>
      </c>
      <c r="F4" s="827">
        <v>3</v>
      </c>
    </row>
    <row r="5" spans="4:17" ht="14.65" thickBot="1" x14ac:dyDescent="0.5">
      <c r="L5" s="1"/>
      <c r="M5" s="854"/>
      <c r="N5" s="1"/>
      <c r="O5" s="1"/>
      <c r="P5" s="854"/>
      <c r="Q5" s="1"/>
    </row>
    <row r="6" spans="4:17" ht="14.65" thickBot="1" x14ac:dyDescent="0.5">
      <c r="D6" s="859"/>
      <c r="E6" s="63" t="s">
        <v>372</v>
      </c>
      <c r="F6" s="105"/>
      <c r="G6" s="891">
        <v>2050</v>
      </c>
      <c r="H6" s="870">
        <v>2040</v>
      </c>
      <c r="I6" s="871">
        <v>2030</v>
      </c>
      <c r="L6" s="1"/>
      <c r="M6" s="854"/>
      <c r="N6" s="1"/>
      <c r="O6" s="1"/>
      <c r="P6" s="854"/>
      <c r="Q6" s="1"/>
    </row>
    <row r="7" spans="4:17" ht="14.65" thickBot="1" x14ac:dyDescent="0.5">
      <c r="D7" s="857"/>
      <c r="E7" s="64"/>
      <c r="F7" s="33"/>
      <c r="G7" s="892"/>
      <c r="H7" s="872"/>
      <c r="I7" s="893"/>
      <c r="J7" s="25"/>
      <c r="L7" s="1"/>
      <c r="M7" s="854"/>
      <c r="N7" s="1"/>
      <c r="O7" s="1"/>
      <c r="P7" s="854"/>
      <c r="Q7" s="1"/>
    </row>
    <row r="8" spans="4:17" ht="14.65" thickBot="1" x14ac:dyDescent="0.5">
      <c r="D8" s="858" t="s">
        <v>403</v>
      </c>
      <c r="E8" s="33"/>
      <c r="F8" s="33"/>
      <c r="G8" s="894"/>
      <c r="H8" s="874"/>
      <c r="I8" s="895"/>
      <c r="J8" s="25"/>
      <c r="L8" s="1"/>
      <c r="M8" s="854"/>
      <c r="N8" s="1"/>
      <c r="O8" s="1"/>
      <c r="P8" s="854"/>
      <c r="Q8" s="1"/>
    </row>
    <row r="9" spans="4:17" ht="14.65" thickBot="1" x14ac:dyDescent="0.5">
      <c r="D9" s="862" t="s">
        <v>404</v>
      </c>
      <c r="E9" s="56">
        <f>IF($F$4=1,I9,IF($F$4=2,H9,G9))</f>
        <v>10</v>
      </c>
      <c r="F9" s="889" t="s">
        <v>364</v>
      </c>
      <c r="G9" s="882">
        <v>10</v>
      </c>
      <c r="H9" s="875">
        <v>10</v>
      </c>
      <c r="I9" s="876">
        <v>10</v>
      </c>
      <c r="L9" s="1"/>
      <c r="M9" s="854"/>
      <c r="N9" s="1"/>
      <c r="O9" s="1"/>
      <c r="P9" s="854"/>
      <c r="Q9" s="1"/>
    </row>
    <row r="10" spans="4:17" ht="14.65" thickBot="1" x14ac:dyDescent="0.5">
      <c r="D10" s="863" t="s">
        <v>405</v>
      </c>
      <c r="E10" s="35">
        <f>IF($F$4=1,I10,IF($F$4=2,H10,G10))</f>
        <v>10</v>
      </c>
      <c r="F10" s="890" t="s">
        <v>364</v>
      </c>
      <c r="G10" s="883">
        <v>10</v>
      </c>
      <c r="H10" s="877">
        <v>10</v>
      </c>
      <c r="I10" s="878">
        <v>10</v>
      </c>
      <c r="L10" s="1"/>
      <c r="M10" s="854"/>
      <c r="N10" s="1"/>
      <c r="O10" s="1"/>
      <c r="P10" s="854"/>
      <c r="Q10" s="1"/>
    </row>
    <row r="11" spans="4:17" ht="14.65" thickBot="1" x14ac:dyDescent="0.5">
      <c r="D11" s="864" t="s">
        <v>406</v>
      </c>
      <c r="E11" s="36">
        <f>IF($F$4=1,I11,IF($F$4=2,H11,G11))</f>
        <v>1</v>
      </c>
      <c r="F11" s="68" t="s">
        <v>4</v>
      </c>
      <c r="G11" s="884">
        <v>1</v>
      </c>
      <c r="H11" s="879">
        <v>1</v>
      </c>
      <c r="I11" s="880">
        <v>1</v>
      </c>
      <c r="L11" s="1"/>
      <c r="M11" s="854"/>
      <c r="N11" s="1"/>
      <c r="O11" s="1"/>
      <c r="P11" s="854"/>
      <c r="Q11" s="1"/>
    </row>
    <row r="12" spans="4:17" ht="14.65" thickBot="1" x14ac:dyDescent="0.5">
      <c r="D12" s="855"/>
      <c r="E12" s="35"/>
      <c r="F12" s="19"/>
      <c r="G12" s="896"/>
      <c r="H12" s="881"/>
      <c r="I12" s="897"/>
      <c r="L12" s="1"/>
      <c r="M12" s="854"/>
      <c r="N12" s="1"/>
      <c r="O12" s="1"/>
      <c r="P12" s="854"/>
      <c r="Q12" s="1"/>
    </row>
    <row r="13" spans="4:17" ht="14.65" thickBot="1" x14ac:dyDescent="0.5">
      <c r="D13" s="860" t="s">
        <v>398</v>
      </c>
      <c r="E13" s="130"/>
      <c r="F13" s="47"/>
      <c r="G13" s="892"/>
      <c r="H13" s="872"/>
      <c r="I13" s="893"/>
      <c r="L13" s="1"/>
      <c r="M13" s="854"/>
      <c r="N13" s="1"/>
      <c r="O13" s="1"/>
      <c r="P13" s="854"/>
      <c r="Q13" s="1"/>
    </row>
    <row r="14" spans="4:17" ht="14.65" thickBot="1" x14ac:dyDescent="0.5">
      <c r="D14" s="865" t="s">
        <v>387</v>
      </c>
      <c r="E14" s="56">
        <f>IF($F$4=1,I14,IF($F$4=2,H14,G14))</f>
        <v>20</v>
      </c>
      <c r="F14" s="19" t="s">
        <v>2</v>
      </c>
      <c r="G14" s="882">
        <v>20</v>
      </c>
      <c r="H14" s="875">
        <v>18</v>
      </c>
      <c r="I14" s="876">
        <v>15</v>
      </c>
      <c r="L14" s="1"/>
      <c r="M14" s="855"/>
      <c r="N14" s="1"/>
      <c r="O14" s="1"/>
      <c r="P14" s="855"/>
      <c r="Q14" s="1"/>
    </row>
    <row r="15" spans="4:17" ht="14.65" thickBot="1" x14ac:dyDescent="0.5">
      <c r="D15" s="866" t="s">
        <v>388</v>
      </c>
      <c r="E15" s="35">
        <f t="shared" ref="E15:E44" si="0">IF($F$4=1,I15,IF($F$4=2,H15,G15))</f>
        <v>185</v>
      </c>
      <c r="F15" s="47" t="s">
        <v>2</v>
      </c>
      <c r="G15" s="883">
        <v>185</v>
      </c>
      <c r="H15" s="877">
        <v>180</v>
      </c>
      <c r="I15" s="878">
        <v>160</v>
      </c>
      <c r="L15" s="1"/>
      <c r="M15" s="855"/>
      <c r="N15" s="1"/>
      <c r="O15" s="1"/>
      <c r="P15" s="855"/>
      <c r="Q15" s="1"/>
    </row>
    <row r="16" spans="4:17" ht="14.65" thickBot="1" x14ac:dyDescent="0.5">
      <c r="D16" s="866" t="s">
        <v>389</v>
      </c>
      <c r="E16" s="35">
        <f t="shared" si="0"/>
        <v>270</v>
      </c>
      <c r="F16" s="47" t="s">
        <v>2</v>
      </c>
      <c r="G16" s="883">
        <v>270</v>
      </c>
      <c r="H16" s="877">
        <v>260</v>
      </c>
      <c r="I16" s="878">
        <v>220</v>
      </c>
      <c r="L16" s="1"/>
      <c r="M16" s="855"/>
      <c r="N16" s="1"/>
      <c r="O16" s="1"/>
      <c r="P16" s="855"/>
      <c r="Q16" s="1"/>
    </row>
    <row r="17" spans="4:17" ht="14.65" thickBot="1" x14ac:dyDescent="0.5">
      <c r="D17" s="866" t="s">
        <v>390</v>
      </c>
      <c r="E17" s="35">
        <f t="shared" si="0"/>
        <v>25</v>
      </c>
      <c r="F17" s="47" t="s">
        <v>373</v>
      </c>
      <c r="G17" s="883">
        <v>25</v>
      </c>
      <c r="H17" s="877">
        <v>25</v>
      </c>
      <c r="I17" s="878">
        <v>22</v>
      </c>
      <c r="L17" s="1"/>
      <c r="M17" s="855"/>
      <c r="N17" s="1"/>
      <c r="O17" s="1"/>
      <c r="P17" s="855"/>
      <c r="Q17" s="1"/>
    </row>
    <row r="18" spans="4:17" ht="14.65" thickBot="1" x14ac:dyDescent="0.5">
      <c r="D18" s="867" t="s">
        <v>391</v>
      </c>
      <c r="E18" s="36">
        <f t="shared" si="0"/>
        <v>4.5</v>
      </c>
      <c r="F18" s="28" t="s">
        <v>373</v>
      </c>
      <c r="G18" s="884">
        <v>4.5</v>
      </c>
      <c r="H18" s="879">
        <v>4.5</v>
      </c>
      <c r="I18" s="880">
        <v>4.5</v>
      </c>
      <c r="L18" s="1"/>
      <c r="M18" s="855"/>
      <c r="N18" s="1"/>
      <c r="O18" s="1"/>
      <c r="P18" s="855"/>
      <c r="Q18" s="1"/>
    </row>
    <row r="19" spans="4:17" ht="14.65" thickBot="1" x14ac:dyDescent="0.5">
      <c r="E19" s="34"/>
      <c r="F19" s="47"/>
      <c r="G19" s="23"/>
      <c r="H19" s="790"/>
      <c r="I19" s="24"/>
      <c r="L19" s="1"/>
      <c r="M19" s="855"/>
      <c r="N19" s="1"/>
      <c r="O19" s="1"/>
      <c r="P19" s="855"/>
      <c r="Q19" s="1"/>
    </row>
    <row r="20" spans="4:17" ht="14.65" thickBot="1" x14ac:dyDescent="0.5">
      <c r="D20" s="861" t="s">
        <v>16</v>
      </c>
      <c r="E20" s="34"/>
      <c r="F20" s="28"/>
      <c r="G20" s="898"/>
      <c r="H20" s="873"/>
      <c r="I20" s="895"/>
      <c r="L20" s="1"/>
      <c r="M20" s="855"/>
      <c r="N20" s="1"/>
      <c r="O20" s="1"/>
      <c r="P20" s="855"/>
      <c r="Q20" s="1"/>
    </row>
    <row r="21" spans="4:17" ht="14.65" thickBot="1" x14ac:dyDescent="0.5">
      <c r="D21" s="862" t="s">
        <v>386</v>
      </c>
      <c r="E21" s="56">
        <f t="shared" si="0"/>
        <v>90</v>
      </c>
      <c r="F21" s="20" t="s">
        <v>374</v>
      </c>
      <c r="G21" s="882">
        <v>90</v>
      </c>
      <c r="H21" s="875">
        <v>66</v>
      </c>
      <c r="I21" s="876">
        <v>66</v>
      </c>
      <c r="L21" s="1"/>
      <c r="M21" s="855"/>
      <c r="N21" s="1"/>
      <c r="O21" s="1"/>
      <c r="P21" s="855"/>
      <c r="Q21" s="1"/>
    </row>
    <row r="22" spans="4:17" ht="14.65" thickBot="1" x14ac:dyDescent="0.5">
      <c r="D22" s="863" t="s">
        <v>393</v>
      </c>
      <c r="E22" s="35">
        <f t="shared" si="0"/>
        <v>775</v>
      </c>
      <c r="F22" s="33" t="s">
        <v>375</v>
      </c>
      <c r="G22" s="883">
        <v>775</v>
      </c>
      <c r="H22" s="877">
        <v>775</v>
      </c>
      <c r="I22" s="878">
        <v>775</v>
      </c>
      <c r="L22" s="1"/>
      <c r="M22" s="855"/>
      <c r="N22" s="1"/>
      <c r="O22" s="1"/>
      <c r="P22" s="855"/>
      <c r="Q22" s="1"/>
    </row>
    <row r="23" spans="4:17" ht="14.65" thickBot="1" x14ac:dyDescent="0.5">
      <c r="D23" s="863" t="s">
        <v>384</v>
      </c>
      <c r="E23" s="35">
        <f t="shared" si="0"/>
        <v>800</v>
      </c>
      <c r="F23" s="33" t="s">
        <v>376</v>
      </c>
      <c r="G23" s="883">
        <v>800</v>
      </c>
      <c r="H23" s="877">
        <v>800</v>
      </c>
      <c r="I23" s="878">
        <v>800</v>
      </c>
      <c r="L23" s="1"/>
      <c r="M23" s="855"/>
      <c r="N23" s="1"/>
      <c r="O23" s="1"/>
      <c r="P23" s="855"/>
      <c r="Q23" s="1"/>
    </row>
    <row r="24" spans="4:17" ht="14.65" thickBot="1" x14ac:dyDescent="0.5">
      <c r="D24" s="863" t="s">
        <v>394</v>
      </c>
      <c r="E24" s="35">
        <f t="shared" si="0"/>
        <v>0.26</v>
      </c>
      <c r="F24" s="33" t="s">
        <v>377</v>
      </c>
      <c r="G24" s="883">
        <v>0.26</v>
      </c>
      <c r="H24" s="877">
        <v>0.35</v>
      </c>
      <c r="I24" s="878">
        <v>0.35</v>
      </c>
      <c r="L24" s="1"/>
      <c r="M24" s="855"/>
      <c r="N24" s="1"/>
      <c r="O24" s="1"/>
      <c r="P24" s="855"/>
      <c r="Q24" s="1"/>
    </row>
    <row r="25" spans="4:17" ht="14.65" thickBot="1" x14ac:dyDescent="0.5">
      <c r="D25" s="863" t="s">
        <v>395</v>
      </c>
      <c r="E25" s="35">
        <f t="shared" si="0"/>
        <v>1.7100000000000001E-2</v>
      </c>
      <c r="F25" s="33" t="s">
        <v>379</v>
      </c>
      <c r="G25" s="883">
        <v>1.7100000000000001E-2</v>
      </c>
      <c r="H25" s="877">
        <v>1.7100000000000001E-2</v>
      </c>
      <c r="I25" s="878">
        <v>1.7100000000000001E-2</v>
      </c>
      <c r="L25" s="1"/>
      <c r="M25" s="855"/>
      <c r="N25" s="1"/>
      <c r="O25" s="1"/>
      <c r="P25" s="855"/>
      <c r="Q25" s="1"/>
    </row>
    <row r="26" spans="4:17" ht="14.65" thickBot="1" x14ac:dyDescent="0.5">
      <c r="D26" s="863" t="s">
        <v>365</v>
      </c>
      <c r="E26" s="35">
        <f t="shared" si="0"/>
        <v>50</v>
      </c>
      <c r="F26" s="33" t="s">
        <v>378</v>
      </c>
      <c r="G26" s="883">
        <v>50</v>
      </c>
      <c r="H26" s="877">
        <v>50</v>
      </c>
      <c r="I26" s="878">
        <v>50</v>
      </c>
      <c r="L26" s="1"/>
      <c r="M26" s="855"/>
      <c r="N26" s="1"/>
      <c r="O26" s="1"/>
      <c r="P26" s="855"/>
      <c r="Q26" s="1"/>
    </row>
    <row r="27" spans="4:17" ht="14.65" thickBot="1" x14ac:dyDescent="0.5">
      <c r="D27" s="863" t="s">
        <v>386</v>
      </c>
      <c r="E27" s="35">
        <f t="shared" si="0"/>
        <v>800</v>
      </c>
      <c r="F27" s="33" t="s">
        <v>374</v>
      </c>
      <c r="G27" s="883">
        <v>800</v>
      </c>
      <c r="H27" s="877">
        <v>525</v>
      </c>
      <c r="I27" s="878">
        <v>525</v>
      </c>
      <c r="L27" s="1"/>
      <c r="M27" s="855"/>
      <c r="N27" s="1"/>
      <c r="O27" s="1"/>
      <c r="P27" s="855"/>
      <c r="Q27" s="1"/>
    </row>
    <row r="28" spans="4:17" ht="14.65" thickBot="1" x14ac:dyDescent="0.5">
      <c r="D28" s="863" t="s">
        <v>385</v>
      </c>
      <c r="E28" s="35">
        <f t="shared" si="0"/>
        <v>5625</v>
      </c>
      <c r="F28" s="33" t="s">
        <v>375</v>
      </c>
      <c r="G28" s="883">
        <v>5625</v>
      </c>
      <c r="H28" s="877">
        <v>4952</v>
      </c>
      <c r="I28" s="878">
        <v>4952</v>
      </c>
      <c r="L28" s="1"/>
      <c r="M28" s="855"/>
      <c r="N28" s="1"/>
      <c r="O28" s="1"/>
      <c r="P28" s="855"/>
      <c r="Q28" s="1"/>
    </row>
    <row r="29" spans="4:17" ht="14.65" thickBot="1" x14ac:dyDescent="0.5">
      <c r="D29" s="863" t="s">
        <v>384</v>
      </c>
      <c r="E29" s="35">
        <f t="shared" si="0"/>
        <v>3500</v>
      </c>
      <c r="F29" s="33" t="s">
        <v>376</v>
      </c>
      <c r="G29" s="883">
        <v>3500</v>
      </c>
      <c r="H29" s="877">
        <v>3000</v>
      </c>
      <c r="I29" s="878">
        <v>3000</v>
      </c>
      <c r="L29" s="1"/>
      <c r="M29" s="855"/>
      <c r="N29" s="1"/>
      <c r="O29" s="1"/>
      <c r="P29" s="855"/>
      <c r="Q29" s="1"/>
    </row>
    <row r="30" spans="4:17" ht="14.65" thickBot="1" x14ac:dyDescent="0.5">
      <c r="D30" s="863" t="s">
        <v>383</v>
      </c>
      <c r="E30" s="35">
        <f t="shared" si="0"/>
        <v>0</v>
      </c>
      <c r="F30" s="33" t="s">
        <v>377</v>
      </c>
      <c r="G30" s="883">
        <v>0</v>
      </c>
      <c r="H30" s="877">
        <v>0</v>
      </c>
      <c r="I30" s="878">
        <v>0</v>
      </c>
      <c r="L30" s="1"/>
      <c r="M30" s="855"/>
      <c r="N30" s="1"/>
      <c r="O30" s="1"/>
      <c r="P30" s="855"/>
      <c r="Q30" s="1"/>
    </row>
    <row r="31" spans="4:17" ht="14.65" thickBot="1" x14ac:dyDescent="0.5">
      <c r="D31" s="863" t="s">
        <v>382</v>
      </c>
      <c r="E31" s="35">
        <f t="shared" si="0"/>
        <v>1.7100000000000001E-2</v>
      </c>
      <c r="F31" s="33" t="s">
        <v>379</v>
      </c>
      <c r="G31" s="883">
        <v>1.7100000000000001E-2</v>
      </c>
      <c r="H31" s="877">
        <v>1.7100000000000001E-2</v>
      </c>
      <c r="I31" s="878">
        <v>1.7100000000000001E-2</v>
      </c>
      <c r="L31" s="1"/>
      <c r="M31" s="855"/>
      <c r="N31" s="1"/>
      <c r="O31" s="1"/>
      <c r="P31" s="855"/>
      <c r="Q31" s="1"/>
    </row>
    <row r="32" spans="4:17" ht="14.65" thickBot="1" x14ac:dyDescent="0.5">
      <c r="D32" s="864" t="s">
        <v>381</v>
      </c>
      <c r="E32" s="36">
        <f t="shared" si="0"/>
        <v>0</v>
      </c>
      <c r="F32" s="68" t="s">
        <v>378</v>
      </c>
      <c r="G32" s="884">
        <v>0</v>
      </c>
      <c r="H32" s="879">
        <v>0</v>
      </c>
      <c r="I32" s="880">
        <v>0</v>
      </c>
      <c r="L32" s="1"/>
      <c r="M32" s="855"/>
      <c r="N32" s="1"/>
      <c r="O32" s="1"/>
      <c r="P32" s="855"/>
      <c r="Q32" s="1"/>
    </row>
    <row r="33" spans="4:17" ht="14.65" thickBot="1" x14ac:dyDescent="0.5">
      <c r="D33" s="868"/>
      <c r="E33" s="34"/>
      <c r="F33" s="33"/>
      <c r="G33" s="899"/>
      <c r="H33" s="885"/>
      <c r="I33" s="900"/>
      <c r="L33" s="1"/>
      <c r="M33" s="855"/>
      <c r="N33" s="1"/>
      <c r="O33" s="1"/>
      <c r="P33" s="855"/>
      <c r="Q33" s="1"/>
    </row>
    <row r="34" spans="4:17" ht="14.65" thickBot="1" x14ac:dyDescent="0.5">
      <c r="D34" s="858" t="s">
        <v>399</v>
      </c>
      <c r="E34" s="34"/>
      <c r="F34" s="33"/>
      <c r="G34" s="894"/>
      <c r="H34" s="874"/>
      <c r="I34" s="895"/>
      <c r="L34" s="1"/>
      <c r="M34" s="855"/>
      <c r="N34" s="1"/>
      <c r="O34" s="1"/>
      <c r="P34" s="855"/>
      <c r="Q34" s="1"/>
    </row>
    <row r="35" spans="4:17" ht="14.65" thickBot="1" x14ac:dyDescent="0.5">
      <c r="D35" s="862" t="s">
        <v>366</v>
      </c>
      <c r="E35" s="56">
        <f t="shared" si="0"/>
        <v>0.95</v>
      </c>
      <c r="F35" s="889" t="s">
        <v>364</v>
      </c>
      <c r="G35" s="882">
        <v>0.95</v>
      </c>
      <c r="H35" s="875">
        <v>0.95</v>
      </c>
      <c r="I35" s="876">
        <v>0.95</v>
      </c>
      <c r="L35" s="1"/>
      <c r="M35" s="855"/>
      <c r="N35" s="1"/>
      <c r="O35" s="1"/>
      <c r="P35" s="855"/>
      <c r="Q35" s="1"/>
    </row>
    <row r="36" spans="4:17" ht="14.65" thickBot="1" x14ac:dyDescent="0.5">
      <c r="D36" s="863" t="s">
        <v>396</v>
      </c>
      <c r="E36" s="35">
        <f t="shared" si="0"/>
        <v>12</v>
      </c>
      <c r="F36" s="33" t="s">
        <v>380</v>
      </c>
      <c r="G36" s="883">
        <v>12</v>
      </c>
      <c r="H36" s="877">
        <v>20</v>
      </c>
      <c r="I36" s="878">
        <v>24</v>
      </c>
      <c r="L36" s="1"/>
      <c r="M36" s="855"/>
      <c r="N36" s="1"/>
      <c r="O36" s="1"/>
      <c r="P36" s="855"/>
      <c r="Q36" s="1"/>
    </row>
    <row r="37" spans="4:17" ht="14.65" thickBot="1" x14ac:dyDescent="0.5">
      <c r="D37" s="863" t="s">
        <v>366</v>
      </c>
      <c r="E37" s="35">
        <f t="shared" si="0"/>
        <v>0.95</v>
      </c>
      <c r="F37" s="890" t="s">
        <v>67</v>
      </c>
      <c r="G37" s="883">
        <v>0.95</v>
      </c>
      <c r="H37" s="877">
        <v>0.95</v>
      </c>
      <c r="I37" s="878">
        <v>0.95</v>
      </c>
      <c r="L37" s="1"/>
      <c r="M37" s="855"/>
      <c r="N37" s="1"/>
      <c r="O37" s="1"/>
      <c r="P37" s="855"/>
      <c r="Q37" s="1"/>
    </row>
    <row r="38" spans="4:17" ht="14.65" thickBot="1" x14ac:dyDescent="0.5">
      <c r="D38" s="863" t="s">
        <v>397</v>
      </c>
      <c r="E38" s="35">
        <f t="shared" si="0"/>
        <v>48</v>
      </c>
      <c r="F38" s="33" t="s">
        <v>380</v>
      </c>
      <c r="G38" s="883">
        <v>48</v>
      </c>
      <c r="H38" s="877">
        <v>48</v>
      </c>
      <c r="I38" s="878">
        <v>48</v>
      </c>
      <c r="L38" s="1"/>
      <c r="M38" s="855"/>
      <c r="N38" s="1"/>
      <c r="O38" s="1"/>
      <c r="P38" s="855"/>
      <c r="Q38" s="1"/>
    </row>
    <row r="39" spans="4:17" ht="14.65" thickBot="1" x14ac:dyDescent="0.5">
      <c r="D39" s="933" t="s">
        <v>416</v>
      </c>
      <c r="E39" s="35">
        <f t="shared" si="0"/>
        <v>100</v>
      </c>
      <c r="F39" s="1" t="s">
        <v>119</v>
      </c>
      <c r="G39" s="934">
        <v>100</v>
      </c>
      <c r="H39" s="935">
        <v>80</v>
      </c>
      <c r="I39" s="936">
        <v>80</v>
      </c>
      <c r="L39" s="1"/>
      <c r="M39" s="855"/>
      <c r="N39" s="1"/>
      <c r="O39" s="1"/>
      <c r="P39" s="855"/>
      <c r="Q39" s="1"/>
    </row>
    <row r="40" spans="4:17" ht="14.65" thickBot="1" x14ac:dyDescent="0.5">
      <c r="D40" s="864" t="s">
        <v>367</v>
      </c>
      <c r="E40" s="357">
        <f t="shared" si="0"/>
        <v>0.6</v>
      </c>
      <c r="F40" s="68" t="s">
        <v>29</v>
      </c>
      <c r="G40" s="901">
        <v>0.6</v>
      </c>
      <c r="H40" s="879"/>
      <c r="I40" s="880"/>
      <c r="L40" s="1"/>
      <c r="M40" s="855"/>
      <c r="N40" s="1"/>
      <c r="O40" s="1"/>
      <c r="P40" s="855"/>
      <c r="Q40" s="1"/>
    </row>
    <row r="41" spans="4:17" ht="14.65" thickBot="1" x14ac:dyDescent="0.5">
      <c r="E41" s="34"/>
      <c r="G41" s="23"/>
      <c r="H41" s="790"/>
      <c r="I41" s="24"/>
      <c r="L41" s="1"/>
      <c r="M41" s="855"/>
      <c r="N41" s="1"/>
      <c r="O41" s="1"/>
      <c r="P41" s="855"/>
      <c r="Q41" s="1"/>
    </row>
    <row r="42" spans="4:17" ht="14.65" thickBot="1" x14ac:dyDescent="0.5">
      <c r="D42" s="869" t="s">
        <v>400</v>
      </c>
      <c r="E42" s="34"/>
      <c r="G42" s="23"/>
      <c r="H42" s="790"/>
      <c r="I42" s="24"/>
      <c r="L42" s="1"/>
      <c r="M42" s="855"/>
      <c r="N42" s="1"/>
      <c r="O42" s="1"/>
      <c r="P42" s="855"/>
      <c r="Q42" s="1"/>
    </row>
    <row r="43" spans="4:17" ht="14.65" thickBot="1" x14ac:dyDescent="0.5">
      <c r="D43" s="862" t="s">
        <v>368</v>
      </c>
      <c r="E43" s="355">
        <f t="shared" si="0"/>
        <v>0.8</v>
      </c>
      <c r="F43" s="20" t="s">
        <v>29</v>
      </c>
      <c r="G43" s="937">
        <v>0.8</v>
      </c>
      <c r="H43" s="938">
        <v>0.8</v>
      </c>
      <c r="I43" s="939">
        <v>0.8</v>
      </c>
      <c r="L43" s="1"/>
      <c r="M43" s="855"/>
      <c r="N43" s="1"/>
      <c r="O43" s="1"/>
      <c r="P43" s="855"/>
      <c r="Q43" s="1"/>
    </row>
    <row r="44" spans="4:17" ht="14.65" thickBot="1" x14ac:dyDescent="0.5">
      <c r="D44" s="864" t="s">
        <v>369</v>
      </c>
      <c r="E44" s="399">
        <f t="shared" si="0"/>
        <v>0.9</v>
      </c>
      <c r="F44" s="68"/>
      <c r="G44" s="902">
        <v>0.9</v>
      </c>
      <c r="H44" s="940">
        <v>0.9</v>
      </c>
      <c r="I44" s="887">
        <v>0.9</v>
      </c>
      <c r="L44" s="1"/>
      <c r="M44" s="855"/>
      <c r="N44" s="1"/>
      <c r="O44" s="1"/>
      <c r="P44" s="855"/>
      <c r="Q44" s="1"/>
    </row>
    <row r="45" spans="4:17" ht="14.65" thickBot="1" x14ac:dyDescent="0.5">
      <c r="D45" s="868"/>
      <c r="E45" s="356"/>
      <c r="F45" s="33"/>
      <c r="G45" s="903"/>
      <c r="H45" s="885"/>
      <c r="I45" s="904"/>
      <c r="L45" s="1"/>
      <c r="M45" s="855"/>
      <c r="N45" s="1"/>
      <c r="O45" s="1"/>
      <c r="P45" s="855"/>
      <c r="Q45" s="1"/>
    </row>
    <row r="46" spans="4:17" ht="14.65" thickBot="1" x14ac:dyDescent="0.5">
      <c r="D46" s="861" t="s">
        <v>401</v>
      </c>
      <c r="E46" s="356"/>
      <c r="F46" s="33"/>
      <c r="G46" s="905"/>
      <c r="H46" s="874"/>
      <c r="I46" s="906"/>
      <c r="L46" s="1"/>
      <c r="M46" s="855"/>
      <c r="N46" s="1"/>
      <c r="O46" s="1"/>
      <c r="P46" s="855"/>
      <c r="Q46" s="1"/>
    </row>
    <row r="47" spans="4:17" ht="14.65" thickBot="1" x14ac:dyDescent="0.5">
      <c r="D47" s="862" t="s">
        <v>392</v>
      </c>
      <c r="E47" s="399">
        <f t="shared" ref="E47:E49" si="1">IF($F$4=1,I47,IF($F$4=2,H47,G47))</f>
        <v>0.85</v>
      </c>
      <c r="F47" s="20"/>
      <c r="G47" s="907">
        <v>0.85</v>
      </c>
      <c r="H47" s="938">
        <v>0.85</v>
      </c>
      <c r="I47" s="886">
        <v>0.85</v>
      </c>
      <c r="L47" s="1"/>
      <c r="M47" s="855"/>
      <c r="N47" s="1"/>
      <c r="O47" s="1"/>
      <c r="P47" s="855"/>
      <c r="Q47" s="1"/>
    </row>
    <row r="48" spans="4:17" ht="14.65" thickBot="1" x14ac:dyDescent="0.5">
      <c r="D48" s="863" t="s">
        <v>402</v>
      </c>
      <c r="E48" s="1013">
        <f t="shared" si="1"/>
        <v>80</v>
      </c>
      <c r="F48" s="33" t="s">
        <v>119</v>
      </c>
      <c r="G48" s="883">
        <v>80</v>
      </c>
      <c r="H48" s="877">
        <v>80</v>
      </c>
      <c r="I48" s="878">
        <v>80</v>
      </c>
      <c r="L48" s="1"/>
      <c r="M48" s="855"/>
      <c r="N48" s="1"/>
      <c r="O48" s="1"/>
      <c r="P48" s="855"/>
      <c r="Q48" s="1"/>
    </row>
    <row r="49" spans="3:23" ht="26.65" thickBot="1" x14ac:dyDescent="0.5">
      <c r="D49" s="864" t="s">
        <v>370</v>
      </c>
      <c r="E49" s="399">
        <f t="shared" si="1"/>
        <v>0</v>
      </c>
      <c r="F49" s="68"/>
      <c r="G49" s="901"/>
      <c r="H49" s="879"/>
      <c r="I49" s="888"/>
      <c r="L49" s="1"/>
      <c r="M49" s="855"/>
      <c r="N49" s="1"/>
      <c r="O49" s="1"/>
      <c r="P49" s="855"/>
      <c r="Q49" s="1"/>
    </row>
    <row r="50" spans="3:23" x14ac:dyDescent="0.45">
      <c r="D50" s="855"/>
      <c r="E50" s="33"/>
      <c r="F50" s="33"/>
      <c r="G50" s="855"/>
      <c r="H50" s="855"/>
      <c r="I50" s="855"/>
      <c r="L50" s="1"/>
      <c r="M50" s="855"/>
      <c r="N50" s="1"/>
      <c r="O50" s="1"/>
      <c r="P50" s="855"/>
      <c r="Q50" s="1"/>
    </row>
    <row r="51" spans="3:23" ht="14.65" thickBot="1" x14ac:dyDescent="0.5">
      <c r="D51" s="855"/>
      <c r="E51" s="33"/>
      <c r="F51" s="33"/>
      <c r="G51" s="855"/>
      <c r="H51" s="855"/>
      <c r="I51" s="855"/>
      <c r="L51" s="1"/>
      <c r="M51" s="855"/>
      <c r="N51" s="1"/>
      <c r="O51" s="1"/>
      <c r="P51" s="855"/>
      <c r="Q51" s="1"/>
    </row>
    <row r="52" spans="3:23" ht="14.65" thickBot="1" x14ac:dyDescent="0.5">
      <c r="D52" s="929" t="s">
        <v>411</v>
      </c>
      <c r="E52" s="33"/>
      <c r="F52" s="33"/>
      <c r="G52" s="855"/>
      <c r="H52" s="855"/>
      <c r="I52" s="855"/>
      <c r="L52" s="1"/>
      <c r="M52" s="855"/>
      <c r="N52" s="1"/>
      <c r="O52" s="1"/>
      <c r="P52" s="855"/>
      <c r="Q52" s="1"/>
    </row>
    <row r="53" spans="3:23" ht="14.65" thickBot="1" x14ac:dyDescent="0.5">
      <c r="L53" s="1"/>
      <c r="M53" s="855"/>
      <c r="N53" s="1"/>
      <c r="O53" s="1"/>
      <c r="P53" s="855"/>
      <c r="Q53" s="1"/>
    </row>
    <row r="54" spans="3:23" x14ac:dyDescent="0.45">
      <c r="D54" s="914" t="s">
        <v>412</v>
      </c>
      <c r="E54" s="915"/>
      <c r="F54" s="915"/>
      <c r="G54" s="915"/>
      <c r="H54" s="915"/>
      <c r="I54" s="915"/>
      <c r="J54" s="915"/>
      <c r="K54" s="915"/>
      <c r="L54" s="916"/>
      <c r="M54" s="855"/>
      <c r="N54" s="1"/>
      <c r="O54" s="1"/>
      <c r="P54" s="855"/>
      <c r="Q54" s="1"/>
    </row>
    <row r="55" spans="3:23" ht="14.65" thickBot="1" x14ac:dyDescent="0.5">
      <c r="D55" s="917" t="s">
        <v>410</v>
      </c>
      <c r="E55" s="918"/>
      <c r="F55" s="918"/>
      <c r="G55" s="918"/>
      <c r="H55" s="918"/>
      <c r="I55" s="918"/>
      <c r="J55" s="918"/>
      <c r="K55" s="918"/>
      <c r="L55" s="919"/>
      <c r="M55" s="855"/>
      <c r="N55" s="1"/>
      <c r="O55" s="1"/>
      <c r="P55" s="855"/>
      <c r="Q55" s="1"/>
    </row>
    <row r="56" spans="3:23" ht="14.65" thickBot="1" x14ac:dyDescent="0.5">
      <c r="L56" s="1"/>
      <c r="M56" s="855"/>
      <c r="N56" s="1"/>
      <c r="O56" s="1"/>
      <c r="P56" s="855"/>
      <c r="Q56" s="1"/>
    </row>
    <row r="57" spans="3:23" ht="15.75" customHeight="1" thickBot="1" x14ac:dyDescent="0.5">
      <c r="C57" s="1007" t="s">
        <v>345</v>
      </c>
      <c r="D57" s="911" t="s">
        <v>344</v>
      </c>
      <c r="E57" s="37"/>
      <c r="F57" s="37" t="s">
        <v>408</v>
      </c>
      <c r="G57" s="926">
        <v>0</v>
      </c>
      <c r="H57" s="927">
        <v>10</v>
      </c>
      <c r="I57" s="927">
        <v>20</v>
      </c>
      <c r="J57" s="927">
        <v>30</v>
      </c>
      <c r="K57" s="927">
        <v>40</v>
      </c>
      <c r="L57" s="927">
        <v>50</v>
      </c>
      <c r="M57" s="927">
        <v>60</v>
      </c>
      <c r="N57" s="927">
        <v>70</v>
      </c>
      <c r="O57" s="927">
        <v>80</v>
      </c>
      <c r="P57" s="927">
        <v>90</v>
      </c>
      <c r="Q57" s="927">
        <v>100</v>
      </c>
      <c r="R57" s="927">
        <v>200</v>
      </c>
      <c r="S57" s="927">
        <v>400</v>
      </c>
      <c r="T57" s="927">
        <v>600</v>
      </c>
      <c r="U57" s="927">
        <v>800</v>
      </c>
      <c r="V57" s="927">
        <v>1000</v>
      </c>
      <c r="W57" s="928">
        <v>1200</v>
      </c>
    </row>
    <row r="58" spans="3:23" ht="15" customHeight="1" x14ac:dyDescent="0.45">
      <c r="C58" s="1008"/>
      <c r="D58" s="8"/>
      <c r="E58" s="1010"/>
      <c r="F58" s="910">
        <v>0</v>
      </c>
      <c r="G58" s="923">
        <v>2.5096843019366686</v>
      </c>
      <c r="H58" s="923">
        <v>2.5796081178389914</v>
      </c>
      <c r="I58" s="923">
        <v>2.6498319218153794</v>
      </c>
      <c r="J58" s="923">
        <v>2.7203562271692965</v>
      </c>
      <c r="K58" s="923">
        <v>2.791181547204209</v>
      </c>
      <c r="L58" s="923">
        <v>2.8623083952235806</v>
      </c>
      <c r="M58" s="923">
        <v>2.9337372845308769</v>
      </c>
      <c r="N58" s="923">
        <v>3.0054687284295616</v>
      </c>
      <c r="O58" s="923">
        <v>3.0775032402231006</v>
      </c>
      <c r="P58" s="923">
        <v>3.1498413332149582</v>
      </c>
      <c r="Q58" s="923">
        <v>3.2224835207085984</v>
      </c>
      <c r="R58" s="76">
        <v>3.9657435200053301</v>
      </c>
      <c r="S58" s="76">
        <v>5.5456990740322478</v>
      </c>
      <c r="T58" s="76">
        <v>7.2536573917355112</v>
      </c>
      <c r="U58" s="76">
        <v>9.0937249008332106</v>
      </c>
      <c r="V58" s="76">
        <v>11.070008029043438</v>
      </c>
      <c r="W58" s="79">
        <v>13.186613204084278</v>
      </c>
    </row>
    <row r="59" spans="3:23" x14ac:dyDescent="0.45">
      <c r="C59" s="1008"/>
      <c r="D59" s="8"/>
      <c r="E59" s="1011"/>
      <c r="F59" s="106">
        <v>10</v>
      </c>
      <c r="G59" s="77">
        <v>2.5099702934383363</v>
      </c>
      <c r="H59" s="77">
        <v>2.579878177584364</v>
      </c>
      <c r="I59" s="77">
        <v>2.6500858631216078</v>
      </c>
      <c r="J59" s="77">
        <v>2.7205938633535314</v>
      </c>
      <c r="K59" s="77">
        <v>2.7914026915835999</v>
      </c>
      <c r="L59" s="77">
        <v>2.8625128611152793</v>
      </c>
      <c r="M59" s="77">
        <v>2.9339248852520337</v>
      </c>
      <c r="N59" s="77">
        <v>3.0056392772973268</v>
      </c>
      <c r="O59" s="77">
        <v>3.0776565505546252</v>
      </c>
      <c r="P59" s="77">
        <v>3.1499772183273915</v>
      </c>
      <c r="Q59" s="77">
        <v>3.2226017939190923</v>
      </c>
      <c r="R59" s="77">
        <v>3.9656754066397077</v>
      </c>
      <c r="S59" s="77">
        <v>5.5452021826595601</v>
      </c>
      <c r="T59" s="77">
        <v>7.2526570492159843</v>
      </c>
      <c r="U59" s="77">
        <v>9.0921464340270717</v>
      </c>
      <c r="V59" s="77">
        <v>11.067776764810908</v>
      </c>
      <c r="W59" s="80">
        <v>13.183654469285585</v>
      </c>
    </row>
    <row r="60" spans="3:23" x14ac:dyDescent="0.45">
      <c r="C60" s="1008"/>
      <c r="D60" s="8"/>
      <c r="E60" s="1011"/>
      <c r="F60" s="106">
        <v>20</v>
      </c>
      <c r="G60" s="77">
        <v>2.5101322419966516</v>
      </c>
      <c r="H60" s="924">
        <v>2.5800215847493613</v>
      </c>
      <c r="I60" s="77">
        <v>2.6502105152665214</v>
      </c>
      <c r="J60" s="77">
        <v>2.7206995468515958</v>
      </c>
      <c r="K60" s="77">
        <v>2.791489192808049</v>
      </c>
      <c r="L60" s="77">
        <v>2.8625799664393465</v>
      </c>
      <c r="M60" s="77">
        <v>2.9339723810489535</v>
      </c>
      <c r="N60" s="77">
        <v>3.0056669499403341</v>
      </c>
      <c r="O60" s="77">
        <v>3.0776641864169529</v>
      </c>
      <c r="P60" s="77">
        <v>3.1499646037822755</v>
      </c>
      <c r="Q60" s="77">
        <v>3.2225687153397651</v>
      </c>
      <c r="R60" s="77">
        <v>3.9654259382461525</v>
      </c>
      <c r="S60" s="77">
        <v>5.5444558466077964</v>
      </c>
      <c r="T60" s="77">
        <v>7.2513283947996712</v>
      </c>
      <c r="U60" s="77">
        <v>9.0901500105398689</v>
      </c>
      <c r="V60" s="77">
        <v>11.065027121546477</v>
      </c>
      <c r="W60" s="80">
        <v>13.180066155537588</v>
      </c>
    </row>
    <row r="61" spans="3:23" x14ac:dyDescent="0.45">
      <c r="C61" s="1008"/>
      <c r="D61" s="8"/>
      <c r="E61" s="1011"/>
      <c r="F61" s="106">
        <v>30</v>
      </c>
      <c r="G61" s="77">
        <v>2.5579281302149588</v>
      </c>
      <c r="H61" s="77">
        <v>2.6282124916192382</v>
      </c>
      <c r="I61" s="77">
        <v>2.698796193930372</v>
      </c>
      <c r="J61" s="77">
        <v>2.7696797504518234</v>
      </c>
      <c r="K61" s="77">
        <v>2.8408636744870588</v>
      </c>
      <c r="L61" s="77">
        <v>2.9123484793395416</v>
      </c>
      <c r="M61" s="77">
        <v>2.9841346783127376</v>
      </c>
      <c r="N61" s="77">
        <v>3.0562227847101111</v>
      </c>
      <c r="O61" s="77">
        <v>3.1286133118351276</v>
      </c>
      <c r="P61" s="77">
        <v>3.2013067729912512</v>
      </c>
      <c r="Q61" s="77">
        <v>3.2743036814819457</v>
      </c>
      <c r="R61" s="77">
        <v>4.0210752965525973</v>
      </c>
      <c r="S61" s="77">
        <v>5.6078599319639419</v>
      </c>
      <c r="T61" s="77">
        <v>7.3223884641670809</v>
      </c>
      <c r="U61" s="77">
        <v>9.1687673208801055</v>
      </c>
      <c r="V61" s="77">
        <v>11.151102929821104</v>
      </c>
      <c r="W61" s="80">
        <v>13.273501718708168</v>
      </c>
    </row>
    <row r="62" spans="3:23" x14ac:dyDescent="0.45">
      <c r="C62" s="1008"/>
      <c r="D62" s="8"/>
      <c r="E62" s="1011"/>
      <c r="F62" s="106">
        <v>40</v>
      </c>
      <c r="G62" s="77">
        <v>2.6055323247601665</v>
      </c>
      <c r="H62" s="77">
        <v>2.67620767193117</v>
      </c>
      <c r="I62" s="77">
        <v>2.747182071512801</v>
      </c>
      <c r="J62" s="77">
        <v>2.8184560368085236</v>
      </c>
      <c r="K62" s="77">
        <v>2.8900300811218029</v>
      </c>
      <c r="L62" s="77">
        <v>2.961904717756104</v>
      </c>
      <c r="M62" s="77">
        <v>3.0340804600148905</v>
      </c>
      <c r="N62" s="77">
        <v>3.106557821201628</v>
      </c>
      <c r="O62" s="77">
        <v>3.1793373146197821</v>
      </c>
      <c r="P62" s="77">
        <v>3.252419453572815</v>
      </c>
      <c r="Q62" s="77">
        <v>3.3258047513641937</v>
      </c>
      <c r="R62" s="77">
        <v>4.0764443921492113</v>
      </c>
      <c r="S62" s="77">
        <v>5.6708785301212572</v>
      </c>
      <c r="T62" s="77">
        <v>7.3929411663943956</v>
      </c>
      <c r="U62" s="77">
        <v>9.2467387286867169</v>
      </c>
      <c r="V62" s="77">
        <v>11.23637764471631</v>
      </c>
      <c r="W62" s="80">
        <v>13.365964342201263</v>
      </c>
    </row>
    <row r="63" spans="3:23" x14ac:dyDescent="0.45">
      <c r="C63" s="1008"/>
      <c r="D63" s="8"/>
      <c r="E63" s="1011"/>
      <c r="F63" s="106">
        <v>50</v>
      </c>
      <c r="G63" s="77">
        <v>2.6528918576436542</v>
      </c>
      <c r="H63" s="77">
        <v>2.7239530433467771</v>
      </c>
      <c r="I63" s="77">
        <v>2.795312939820259</v>
      </c>
      <c r="J63" s="77">
        <v>2.8669720603675639</v>
      </c>
      <c r="K63" s="77">
        <v>2.938930918292157</v>
      </c>
      <c r="L63" s="77">
        <v>3.0111900268975034</v>
      </c>
      <c r="M63" s="77">
        <v>3.0837498994870667</v>
      </c>
      <c r="N63" s="77">
        <v>3.1566110493643125</v>
      </c>
      <c r="O63" s="77">
        <v>3.2297739898327058</v>
      </c>
      <c r="P63" s="77">
        <v>3.3032392341957104</v>
      </c>
      <c r="Q63" s="77">
        <v>3.3770072957567918</v>
      </c>
      <c r="R63" s="77">
        <v>4.131455784024066</v>
      </c>
      <c r="S63" s="77">
        <v>5.7334051248800675</v>
      </c>
      <c r="T63" s="77">
        <v>7.46284630792975</v>
      </c>
      <c r="U63" s="77">
        <v>9.3238857608912014</v>
      </c>
      <c r="V63" s="77">
        <v>11.320629911482516</v>
      </c>
      <c r="W63" s="80">
        <v>13.457185187421775</v>
      </c>
    </row>
    <row r="64" spans="3:23" x14ac:dyDescent="0.45">
      <c r="C64" s="1008"/>
      <c r="D64" s="8"/>
      <c r="E64" s="1011"/>
      <c r="F64" s="106">
        <v>60</v>
      </c>
      <c r="G64" s="77">
        <v>2.6999322666205514</v>
      </c>
      <c r="H64" s="77">
        <v>2.7713725770715261</v>
      </c>
      <c r="I64" s="77">
        <v>2.843111187334276</v>
      </c>
      <c r="J64" s="77">
        <v>2.9151486107122651</v>
      </c>
      <c r="K64" s="77">
        <v>2.9874853605089591</v>
      </c>
      <c r="L64" s="77">
        <v>3.0601219500278209</v>
      </c>
      <c r="M64" s="77">
        <v>3.1330588925723166</v>
      </c>
      <c r="N64" s="77">
        <v>3.2062967014459112</v>
      </c>
      <c r="O64" s="77">
        <v>3.2798358899520692</v>
      </c>
      <c r="P64" s="77">
        <v>3.3536769713942549</v>
      </c>
      <c r="Q64" s="77">
        <v>3.4278204590759334</v>
      </c>
      <c r="R64" s="77">
        <v>4.1860006058270622</v>
      </c>
      <c r="S64" s="77">
        <v>5.79528997607561</v>
      </c>
      <c r="T64" s="77">
        <v>7.5319068050842848</v>
      </c>
      <c r="U64" s="77">
        <v>9.3999575205711743</v>
      </c>
      <c r="V64" s="77">
        <v>11.403548550254373</v>
      </c>
      <c r="W64" s="80">
        <v>13.546786321851966</v>
      </c>
    </row>
    <row r="65" spans="3:23" x14ac:dyDescent="0.45">
      <c r="C65" s="1008"/>
      <c r="D65" s="8"/>
      <c r="E65" s="1011"/>
      <c r="F65" s="106">
        <v>70</v>
      </c>
      <c r="G65" s="77">
        <v>2.7465454613353999</v>
      </c>
      <c r="H65" s="77">
        <v>2.8183559087262555</v>
      </c>
      <c r="I65" s="77">
        <v>2.8904641521732031</v>
      </c>
      <c r="J65" s="77">
        <v>2.9628707049797063</v>
      </c>
      <c r="K65" s="77">
        <v>3.0355760804492302</v>
      </c>
      <c r="L65" s="77">
        <v>3.1085807918852391</v>
      </c>
      <c r="M65" s="77">
        <v>3.1818853525911979</v>
      </c>
      <c r="N65" s="77">
        <v>3.2554902758705722</v>
      </c>
      <c r="O65" s="77">
        <v>3.3293960750268266</v>
      </c>
      <c r="P65" s="77">
        <v>3.4036032633634252</v>
      </c>
      <c r="Q65" s="77">
        <v>3.4781123541838328</v>
      </c>
      <c r="R65" s="77">
        <v>4.2399208257596666</v>
      </c>
      <c r="S65" s="77">
        <v>5.8563157189525823</v>
      </c>
      <c r="T65" s="77">
        <v>7.5998365686322371</v>
      </c>
      <c r="U65" s="77">
        <v>9.4745898025167214</v>
      </c>
      <c r="V65" s="77">
        <v>11.484681848324122</v>
      </c>
      <c r="W65" s="80">
        <v>13.634219133772532</v>
      </c>
    </row>
    <row r="66" spans="3:23" x14ac:dyDescent="0.45">
      <c r="C66" s="1008"/>
      <c r="D66" s="8"/>
      <c r="E66" s="1011"/>
      <c r="F66" s="106">
        <v>80</v>
      </c>
      <c r="G66" s="77">
        <v>2.7925683236154173</v>
      </c>
      <c r="H66" s="77">
        <v>2.8647364884296849</v>
      </c>
      <c r="I66" s="77">
        <v>2.9372018173156409</v>
      </c>
      <c r="J66" s="77">
        <v>3.00996482357675</v>
      </c>
      <c r="K66" s="77">
        <v>3.0830260205164768</v>
      </c>
      <c r="L66" s="77">
        <v>3.1563859214382859</v>
      </c>
      <c r="M66" s="77">
        <v>3.2300450396456419</v>
      </c>
      <c r="N66" s="77">
        <v>3.3040038884420109</v>
      </c>
      <c r="O66" s="77">
        <v>3.3782629811308569</v>
      </c>
      <c r="P66" s="77">
        <v>3.4528228310156437</v>
      </c>
      <c r="Q66" s="77">
        <v>3.5276839513998368</v>
      </c>
      <c r="R66" s="77">
        <v>4.2929779594713668</v>
      </c>
      <c r="S66" s="77">
        <v>5.9161543303348072</v>
      </c>
      <c r="T66" s="77">
        <v>7.6662038639238226</v>
      </c>
      <c r="U66" s="77">
        <v>9.5472329879565088</v>
      </c>
      <c r="V66" s="77">
        <v>11.563348130150956</v>
      </c>
      <c r="W66" s="80">
        <v>13.71865571822525</v>
      </c>
    </row>
    <row r="67" spans="3:23" x14ac:dyDescent="0.45">
      <c r="C67" s="1008"/>
      <c r="D67" s="8"/>
      <c r="E67" s="1011"/>
      <c r="F67" s="106">
        <v>90</v>
      </c>
      <c r="G67" s="77">
        <v>2.8377425830203657</v>
      </c>
      <c r="H67" s="77">
        <v>2.9102506122031206</v>
      </c>
      <c r="I67" s="77">
        <v>2.9830549891443772</v>
      </c>
      <c r="J67" s="77">
        <v>3.056156227147599</v>
      </c>
      <c r="K67" s="77">
        <v>3.1295548395162518</v>
      </c>
      <c r="L67" s="77">
        <v>3.2032513395538</v>
      </c>
      <c r="M67" s="77">
        <v>3.2772462405637084</v>
      </c>
      <c r="N67" s="77">
        <v>3.3515400558494415</v>
      </c>
      <c r="O67" s="77">
        <v>3.4261332987144657</v>
      </c>
      <c r="P67" s="77">
        <v>3.501026482462243</v>
      </c>
      <c r="Q67" s="77">
        <v>3.5762201203962398</v>
      </c>
      <c r="R67" s="77">
        <v>4.3447944067405171</v>
      </c>
      <c r="S67" s="77">
        <v>5.9742864401933256</v>
      </c>
      <c r="T67" s="77">
        <v>7.7303251110968825</v>
      </c>
      <c r="U67" s="77">
        <v>9.6170168471692783</v>
      </c>
      <c r="V67" s="77">
        <v>11.638468076128602</v>
      </c>
      <c r="W67" s="80">
        <v>13.79878522569294</v>
      </c>
    </row>
    <row r="68" spans="3:23" x14ac:dyDescent="0.45">
      <c r="C68" s="1008"/>
      <c r="D68" s="8"/>
      <c r="E68" s="1011"/>
      <c r="F68" s="106">
        <v>100</v>
      </c>
      <c r="G68" s="77">
        <v>2.8816335892971607</v>
      </c>
      <c r="H68" s="77">
        <v>2.9544544855458339</v>
      </c>
      <c r="I68" s="77">
        <v>3.0275706344987339</v>
      </c>
      <c r="J68" s="77">
        <v>3.1009825494593235</v>
      </c>
      <c r="K68" s="77">
        <v>3.1746907437310692</v>
      </c>
      <c r="L68" s="77">
        <v>3.2486957306174351</v>
      </c>
      <c r="M68" s="77">
        <v>3.3229980234218854</v>
      </c>
      <c r="N68" s="77">
        <v>3.3975981354478852</v>
      </c>
      <c r="O68" s="77">
        <v>3.4724965799989</v>
      </c>
      <c r="P68" s="77">
        <v>3.547693870378394</v>
      </c>
      <c r="Q68" s="77">
        <v>3.6231905198898318</v>
      </c>
      <c r="R68" s="77">
        <v>4.39473469402337</v>
      </c>
      <c r="S68" s="77">
        <v>6.0298379867721001</v>
      </c>
      <c r="T68" s="77">
        <v>7.7910498952614375</v>
      </c>
      <c r="U68" s="77">
        <v>9.6824768472094735</v>
      </c>
      <c r="V68" s="77">
        <v>11.708225270334296</v>
      </c>
      <c r="W68" s="80">
        <v>13.872401592354002</v>
      </c>
    </row>
    <row r="69" spans="3:23" x14ac:dyDescent="0.45">
      <c r="C69" s="1008"/>
      <c r="D69" s="8"/>
      <c r="E69" s="1011"/>
      <c r="F69" s="106">
        <v>200</v>
      </c>
      <c r="G69" s="77">
        <v>3.4544002283638964</v>
      </c>
      <c r="H69" s="77">
        <v>3.5331658932120966</v>
      </c>
      <c r="I69" s="77">
        <v>3.6122449358008049</v>
      </c>
      <c r="J69" s="77">
        <v>3.6916378694334844</v>
      </c>
      <c r="K69" s="77">
        <v>3.7713452074136011</v>
      </c>
      <c r="L69" s="77">
        <v>3.8513674630446193</v>
      </c>
      <c r="M69" s="77">
        <v>3.9317051496300048</v>
      </c>
      <c r="N69" s="77">
        <v>4.012358780473221</v>
      </c>
      <c r="O69" s="77">
        <v>4.0933288688777338</v>
      </c>
      <c r="P69" s="77">
        <v>4.1746159281470065</v>
      </c>
      <c r="Q69" s="77">
        <v>4.2562204715845056</v>
      </c>
      <c r="R69" s="77">
        <v>5.0898404619741449</v>
      </c>
      <c r="S69" s="77">
        <v>6.8545328981195617</v>
      </c>
      <c r="T69" s="77">
        <v>8.7525839645182355</v>
      </c>
      <c r="U69" s="77">
        <v>10.788100088888259</v>
      </c>
      <c r="V69" s="77">
        <v>12.965187698947719</v>
      </c>
      <c r="W69" s="80">
        <v>15.287953222414707</v>
      </c>
    </row>
    <row r="70" spans="3:23" x14ac:dyDescent="0.45">
      <c r="C70" s="1008"/>
      <c r="D70" s="8"/>
      <c r="E70" s="1011"/>
      <c r="F70" s="106">
        <v>300</v>
      </c>
      <c r="G70" s="77">
        <v>3.9091665797843174</v>
      </c>
      <c r="H70" s="77">
        <v>3.9913945026510289</v>
      </c>
      <c r="I70" s="77">
        <v>4.0739282969300916</v>
      </c>
      <c r="J70" s="77">
        <v>4.1567684759249683</v>
      </c>
      <c r="K70" s="77">
        <v>4.2399155529391255</v>
      </c>
      <c r="L70" s="77">
        <v>4.3233700412760276</v>
      </c>
      <c r="M70" s="77">
        <v>4.4071324542391395</v>
      </c>
      <c r="N70" s="77">
        <v>4.4912033051319247</v>
      </c>
      <c r="O70" s="77">
        <v>4.5755831072578497</v>
      </c>
      <c r="P70" s="77">
        <v>4.6602723739203782</v>
      </c>
      <c r="Q70" s="77">
        <v>4.7452716184229748</v>
      </c>
      <c r="R70" s="77">
        <v>5.6124257714149586</v>
      </c>
      <c r="S70" s="77">
        <v>7.4419346343179544</v>
      </c>
      <c r="T70" s="77">
        <v>9.4017995962113954</v>
      </c>
      <c r="U70" s="77">
        <v>11.496127084813367</v>
      </c>
      <c r="V70" s="77">
        <v>13.729023527841964</v>
      </c>
      <c r="W70" s="80">
        <v>16.104595353015277</v>
      </c>
    </row>
    <row r="71" spans="3:23" x14ac:dyDescent="0.45">
      <c r="C71" s="1008"/>
      <c r="D71" s="8"/>
      <c r="E71" s="1011"/>
      <c r="F71" s="106">
        <v>400</v>
      </c>
      <c r="G71" s="77">
        <v>4.3925602199236664</v>
      </c>
      <c r="H71" s="77">
        <v>4.478852666689491</v>
      </c>
      <c r="I71" s="77">
        <v>4.5654496967995204</v>
      </c>
      <c r="J71" s="77">
        <v>4.6523518235572201</v>
      </c>
      <c r="K71" s="77">
        <v>4.7395595602660539</v>
      </c>
      <c r="L71" s="77">
        <v>4.8270734202294872</v>
      </c>
      <c r="M71" s="77">
        <v>4.9148939167509855</v>
      </c>
      <c r="N71" s="77">
        <v>5.0030215631340118</v>
      </c>
      <c r="O71" s="77">
        <v>5.0914568726820333</v>
      </c>
      <c r="P71" s="77">
        <v>5.1802003586985128</v>
      </c>
      <c r="Q71" s="77">
        <v>5.2692525344869132</v>
      </c>
      <c r="R71" s="77">
        <v>6.176865156588959</v>
      </c>
      <c r="S71" s="77">
        <v>8.0869045372684898</v>
      </c>
      <c r="T71" s="77">
        <v>10.126784789680347</v>
      </c>
      <c r="U71" s="77">
        <v>12.300612341542623</v>
      </c>
      <c r="V71" s="77">
        <v>14.612493620573407</v>
      </c>
      <c r="W71" s="80">
        <v>17.066535054490785</v>
      </c>
    </row>
    <row r="72" spans="3:23" x14ac:dyDescent="0.45">
      <c r="C72" s="1008"/>
      <c r="D72" s="8"/>
      <c r="E72" s="1011"/>
      <c r="F72" s="106">
        <v>500</v>
      </c>
      <c r="G72" s="77">
        <v>4.8794274641335136</v>
      </c>
      <c r="H72" s="77">
        <v>4.9698575130852181</v>
      </c>
      <c r="I72" s="77">
        <v>5.0605916118298886</v>
      </c>
      <c r="J72" s="77">
        <v>5.151630273670988</v>
      </c>
      <c r="K72" s="77">
        <v>5.2429740119119819</v>
      </c>
      <c r="L72" s="77">
        <v>5.3346233398563356</v>
      </c>
      <c r="M72" s="77">
        <v>5.4265787708075131</v>
      </c>
      <c r="N72" s="77">
        <v>5.5188408180689787</v>
      </c>
      <c r="O72" s="77">
        <v>5.6114099949442</v>
      </c>
      <c r="P72" s="77">
        <v>5.704286814736637</v>
      </c>
      <c r="Q72" s="77">
        <v>5.7974717907497588</v>
      </c>
      <c r="R72" s="77">
        <v>6.7463830697807925</v>
      </c>
      <c r="S72" s="77">
        <v>8.7388596989462712</v>
      </c>
      <c r="T72" s="77">
        <v>10.860963779348035</v>
      </c>
      <c r="U72" s="77">
        <v>13.116801738704181</v>
      </c>
      <c r="V72" s="77">
        <v>15.510480004732791</v>
      </c>
      <c r="W72" s="80">
        <v>18.046105005151961</v>
      </c>
    </row>
    <row r="73" spans="3:23" x14ac:dyDescent="0.45">
      <c r="C73" s="1008"/>
      <c r="D73" s="8"/>
      <c r="E73" s="1011"/>
      <c r="F73" s="106">
        <v>600</v>
      </c>
      <c r="G73" s="77">
        <v>5.3674076106183746</v>
      </c>
      <c r="H73" s="77">
        <v>5.4619986751876421</v>
      </c>
      <c r="I73" s="77">
        <v>5.556893497737061</v>
      </c>
      <c r="J73" s="77">
        <v>5.6520925915700957</v>
      </c>
      <c r="K73" s="77">
        <v>5.74759646999021</v>
      </c>
      <c r="L73" s="77">
        <v>5.8434056463008703</v>
      </c>
      <c r="M73" s="77">
        <v>5.9395206338055395</v>
      </c>
      <c r="N73" s="77">
        <v>6.0359419458076848</v>
      </c>
      <c r="O73" s="77">
        <v>6.1326700956107683</v>
      </c>
      <c r="P73" s="77">
        <v>6.2297055965182562</v>
      </c>
      <c r="Q73" s="77">
        <v>6.3270489618336141</v>
      </c>
      <c r="R73" s="77">
        <v>7.317528084182225</v>
      </c>
      <c r="S73" s="77">
        <v>9.393052856138608</v>
      </c>
      <c r="T73" s="77">
        <v>11.598088354205613</v>
      </c>
      <c r="U73" s="77">
        <v>13.936741006101329</v>
      </c>
      <c r="V73" s="77">
        <v>16.413117239543851</v>
      </c>
      <c r="W73" s="80">
        <v>19.03132348225126</v>
      </c>
    </row>
    <row r="74" spans="3:23" x14ac:dyDescent="0.45">
      <c r="C74" s="1008"/>
      <c r="D74" s="8"/>
      <c r="E74" s="1011"/>
      <c r="F74" s="106">
        <v>700</v>
      </c>
      <c r="G74" s="77">
        <v>5.8558840116796915</v>
      </c>
      <c r="H74" s="77">
        <v>5.9546465321566391</v>
      </c>
      <c r="I74" s="77">
        <v>6.0537126265945771</v>
      </c>
      <c r="J74" s="77">
        <v>6.1530828082969657</v>
      </c>
      <c r="K74" s="77">
        <v>6.2527575905672741</v>
      </c>
      <c r="L74" s="77">
        <v>6.3527374867089641</v>
      </c>
      <c r="M74" s="77">
        <v>6.4530230100255013</v>
      </c>
      <c r="N74" s="77">
        <v>6.5536146738203511</v>
      </c>
      <c r="O74" s="77">
        <v>6.6545129913969783</v>
      </c>
      <c r="P74" s="77">
        <v>6.7557184760588456</v>
      </c>
      <c r="Q74" s="77">
        <v>6.8572316411094203</v>
      </c>
      <c r="R74" s="77">
        <v>7.8893986397562719</v>
      </c>
      <c r="S74" s="77">
        <v>10.048243958560388</v>
      </c>
      <c r="T74" s="77">
        <v>12.336526395810127</v>
      </c>
      <c r="U74" s="77">
        <v>14.758352379223584</v>
      </c>
      <c r="V74" s="77">
        <v>17.317828336518843</v>
      </c>
      <c r="W74" s="80">
        <v>20.019060695413994</v>
      </c>
    </row>
    <row r="75" spans="3:23" x14ac:dyDescent="0.45">
      <c r="C75" s="1008"/>
      <c r="D75" s="8"/>
      <c r="E75" s="1011"/>
      <c r="F75" s="106">
        <v>800</v>
      </c>
      <c r="G75" s="77">
        <v>6.3446245660678997</v>
      </c>
      <c r="H75" s="77">
        <v>6.4475640997561765</v>
      </c>
      <c r="I75" s="77">
        <v>6.5508070807641907</v>
      </c>
      <c r="J75" s="77">
        <v>6.6543540223954087</v>
      </c>
      <c r="K75" s="77">
        <v>6.7582054379532952</v>
      </c>
      <c r="L75" s="77">
        <v>6.8623618407413138</v>
      </c>
      <c r="M75" s="77">
        <v>6.966823744062931</v>
      </c>
      <c r="N75" s="77">
        <v>7.0715916612216088</v>
      </c>
      <c r="O75" s="77">
        <v>7.1766661055208152</v>
      </c>
      <c r="P75" s="77">
        <v>7.2820475902640123</v>
      </c>
      <c r="Q75" s="77">
        <v>7.3877366287546655</v>
      </c>
      <c r="R75" s="77">
        <v>8.4616553965335637</v>
      </c>
      <c r="S75" s="77">
        <v>10.7039662612268</v>
      </c>
      <c r="T75" s="77">
        <v>13.075663587865691</v>
      </c>
      <c r="U75" s="77">
        <v>15.580853804168335</v>
      </c>
      <c r="V75" s="77">
        <v>18.223643337852817</v>
      </c>
      <c r="W75" s="80">
        <v>21.008138616637229</v>
      </c>
    </row>
    <row r="76" spans="3:23" ht="14.65" thickBot="1" x14ac:dyDescent="0.5">
      <c r="C76" s="1008"/>
      <c r="D76" s="8"/>
      <c r="E76" s="1012"/>
      <c r="F76" s="909">
        <v>900</v>
      </c>
      <c r="G76" s="78">
        <v>6.8335223909339664</v>
      </c>
      <c r="H76" s="78">
        <v>6.9406422465172462</v>
      </c>
      <c r="I76" s="78">
        <v>7.0480654569404297</v>
      </c>
      <c r="J76" s="78">
        <v>7.1557925355069845</v>
      </c>
      <c r="K76" s="78">
        <v>7.2638239955203723</v>
      </c>
      <c r="L76" s="78">
        <v>7.3721603502840587</v>
      </c>
      <c r="M76" s="78">
        <v>7.4808021131015092</v>
      </c>
      <c r="N76" s="78">
        <v>7.5897497972761885</v>
      </c>
      <c r="O76" s="78">
        <v>7.699003916111562</v>
      </c>
      <c r="P76" s="78">
        <v>7.8085649829110917</v>
      </c>
      <c r="Q76" s="78">
        <v>7.9184335109782458</v>
      </c>
      <c r="R76" s="78">
        <v>9.0341420881312811</v>
      </c>
      <c r="S76" s="78">
        <v>11.360004827622667</v>
      </c>
      <c r="T76" s="78">
        <v>13.81521703712621</v>
      </c>
      <c r="U76" s="78">
        <v>16.403885144360004</v>
      </c>
      <c r="V76" s="78">
        <v>19.130115577042137</v>
      </c>
      <c r="W76" s="81">
        <v>21.998014762890698</v>
      </c>
    </row>
    <row r="77" spans="3:23" ht="14.65" thickBot="1" x14ac:dyDescent="0.5">
      <c r="C77" s="1008"/>
      <c r="D77" s="8"/>
      <c r="G77" s="834"/>
      <c r="H77" s="834"/>
      <c r="I77" s="834"/>
      <c r="J77" s="834"/>
      <c r="K77" s="834"/>
      <c r="L77" s="834"/>
      <c r="M77" s="834"/>
      <c r="N77" s="834"/>
      <c r="O77" s="834"/>
      <c r="P77" s="834"/>
      <c r="Q77" s="834"/>
      <c r="R77" s="834"/>
      <c r="S77" s="834"/>
      <c r="T77" s="834"/>
      <c r="U77" s="834"/>
      <c r="V77" s="834"/>
      <c r="W77" s="834"/>
    </row>
    <row r="78" spans="3:23" ht="14.65" thickBot="1" x14ac:dyDescent="0.5">
      <c r="C78" s="1008"/>
      <c r="D78" s="911" t="s">
        <v>138</v>
      </c>
      <c r="E78" s="37"/>
      <c r="F78" s="37" t="s">
        <v>408</v>
      </c>
      <c r="G78" s="926">
        <v>0</v>
      </c>
      <c r="H78" s="927">
        <v>10</v>
      </c>
      <c r="I78" s="927">
        <v>20</v>
      </c>
      <c r="J78" s="927">
        <v>30</v>
      </c>
      <c r="K78" s="927">
        <v>40</v>
      </c>
      <c r="L78" s="927">
        <v>50</v>
      </c>
      <c r="M78" s="927">
        <v>60</v>
      </c>
      <c r="N78" s="927">
        <v>70</v>
      </c>
      <c r="O78" s="927">
        <v>80</v>
      </c>
      <c r="P78" s="927">
        <v>90</v>
      </c>
      <c r="Q78" s="927">
        <v>100</v>
      </c>
      <c r="R78" s="927">
        <v>200</v>
      </c>
      <c r="S78" s="927">
        <v>400</v>
      </c>
      <c r="T78" s="927">
        <v>600</v>
      </c>
      <c r="U78" s="927">
        <v>800</v>
      </c>
      <c r="V78" s="927">
        <v>1000</v>
      </c>
      <c r="W78" s="928">
        <v>1200</v>
      </c>
    </row>
    <row r="79" spans="3:23" ht="15" customHeight="1" x14ac:dyDescent="0.45">
      <c r="C79" s="1008"/>
      <c r="D79" s="8"/>
      <c r="E79" s="1010" t="s">
        <v>407</v>
      </c>
      <c r="F79" s="910">
        <v>0</v>
      </c>
      <c r="G79" s="923">
        <v>1.9337955281775849</v>
      </c>
      <c r="H79" s="923">
        <v>1.9482511885492955</v>
      </c>
      <c r="I79" s="923">
        <v>1.962933511072406</v>
      </c>
      <c r="J79" s="923">
        <v>1.9778233094554203</v>
      </c>
      <c r="K79" s="923">
        <v>1.9929036234612498</v>
      </c>
      <c r="L79" s="923">
        <v>2.0081594051651792</v>
      </c>
      <c r="M79" s="923">
        <v>2.0235772568209853</v>
      </c>
      <c r="N79" s="923">
        <v>2.0391452106954766</v>
      </c>
      <c r="O79" s="923">
        <v>2.0548525432360556</v>
      </c>
      <c r="P79" s="923">
        <v>2.070689617483239</v>
      </c>
      <c r="Q79" s="923">
        <v>2.0866477488433945</v>
      </c>
      <c r="R79" s="76">
        <v>2.2514686685198324</v>
      </c>
      <c r="S79" s="76">
        <v>2.598777605361025</v>
      </c>
      <c r="T79" s="76">
        <v>2.9594033048828408</v>
      </c>
      <c r="U79" s="76">
        <v>3.328843998755878</v>
      </c>
      <c r="V79" s="76">
        <v>3.7053581337141348</v>
      </c>
      <c r="W79" s="79">
        <v>4.0881300475314681</v>
      </c>
    </row>
    <row r="80" spans="3:23" x14ac:dyDescent="0.45">
      <c r="C80" s="1008"/>
      <c r="D80" s="8"/>
      <c r="E80" s="1011"/>
      <c r="F80" s="106">
        <v>10</v>
      </c>
      <c r="G80" s="77">
        <v>1.9328463902036463</v>
      </c>
      <c r="H80" s="77">
        <v>1.9472886941567571</v>
      </c>
      <c r="I80" s="77">
        <v>1.9619570707644352</v>
      </c>
      <c r="J80" s="77">
        <v>1.9768323795534406</v>
      </c>
      <c r="K80" s="77">
        <v>1.9918976996945392</v>
      </c>
      <c r="L80" s="77">
        <v>2.0071380173137841</v>
      </c>
      <c r="M80" s="77">
        <v>2.0225399642147313</v>
      </c>
      <c r="N80" s="77">
        <v>2.0380915984130445</v>
      </c>
      <c r="O80" s="77">
        <v>2.0537822188798396</v>
      </c>
      <c r="P80" s="77">
        <v>2.0696022084303545</v>
      </c>
      <c r="Q80" s="77">
        <v>2.0855428998924772</v>
      </c>
      <c r="R80" s="77">
        <v>2.2501725648037167</v>
      </c>
      <c r="S80" s="77">
        <v>2.597025486093866</v>
      </c>
      <c r="T80" s="77">
        <v>2.9571119786831548</v>
      </c>
      <c r="U80" s="77">
        <v>3.3259355924037406</v>
      </c>
      <c r="V80" s="77">
        <v>3.7017564722359433</v>
      </c>
      <c r="W80" s="80">
        <v>4.0837596468519175</v>
      </c>
    </row>
    <row r="81" spans="3:23" x14ac:dyDescent="0.45">
      <c r="C81" s="1008"/>
      <c r="D81" s="8"/>
      <c r="E81" s="1011"/>
      <c r="F81" s="106">
        <v>20</v>
      </c>
      <c r="G81" s="77">
        <v>1.9317733092374061</v>
      </c>
      <c r="H81" s="924">
        <v>1.9461996388652012</v>
      </c>
      <c r="I81" s="77">
        <v>1.960851425636811</v>
      </c>
      <c r="J81" s="77">
        <v>1.9757095747675082</v>
      </c>
      <c r="K81" s="77">
        <v>1.9907572047275222</v>
      </c>
      <c r="L81" s="77">
        <v>2.0059793356026234</v>
      </c>
      <c r="M81" s="77">
        <v>2.0213626286692628</v>
      </c>
      <c r="N81" s="77">
        <v>2.0368951676267164</v>
      </c>
      <c r="O81" s="77">
        <v>2.0525662739141985</v>
      </c>
      <c r="P81" s="77">
        <v>2.0683663500740472</v>
      </c>
      <c r="Q81" s="77">
        <v>2.084286746314727</v>
      </c>
      <c r="R81" s="77">
        <v>2.2486951326953437</v>
      </c>
      <c r="S81" s="77">
        <v>2.5950239336347618</v>
      </c>
      <c r="T81" s="77">
        <v>2.9544923468196682</v>
      </c>
      <c r="U81" s="77">
        <v>3.3226092332356449</v>
      </c>
      <c r="V81" s="77">
        <v>3.6976364343400281</v>
      </c>
      <c r="W81" s="80">
        <v>4.0787596691019363</v>
      </c>
    </row>
    <row r="82" spans="3:23" x14ac:dyDescent="0.45">
      <c r="C82" s="1008"/>
      <c r="D82" s="8"/>
      <c r="E82" s="1011"/>
      <c r="F82" s="106">
        <v>30</v>
      </c>
      <c r="G82" s="77">
        <v>1.9846793250692658</v>
      </c>
      <c r="H82" s="77">
        <v>1.9996128994820199</v>
      </c>
      <c r="I82" s="77">
        <v>2.0147633584547098</v>
      </c>
      <c r="J82" s="77">
        <v>2.0301126812584021</v>
      </c>
      <c r="K82" s="77">
        <v>2.0456448995764385</v>
      </c>
      <c r="L82" s="77">
        <v>2.0613458134026246</v>
      </c>
      <c r="M82" s="77">
        <v>2.0772027528597281</v>
      </c>
      <c r="N82" s="77">
        <v>2.093204377506142</v>
      </c>
      <c r="O82" s="77">
        <v>2.1093405064228925</v>
      </c>
      <c r="P82" s="77">
        <v>2.1256019737106833</v>
      </c>
      <c r="Q82" s="77">
        <v>2.1419805050714555</v>
      </c>
      <c r="R82" s="77">
        <v>2.3108469078597036</v>
      </c>
      <c r="S82" s="77">
        <v>2.6657734200666003</v>
      </c>
      <c r="T82" s="77">
        <v>3.033662308899606</v>
      </c>
      <c r="U82" s="77">
        <v>3.4100895202290449</v>
      </c>
      <c r="V82" s="77">
        <v>3.7933302177515458</v>
      </c>
      <c r="W82" s="80">
        <v>4.1825726536165284</v>
      </c>
    </row>
    <row r="83" spans="3:23" x14ac:dyDescent="0.45">
      <c r="C83" s="1008"/>
      <c r="D83" s="8"/>
      <c r="E83" s="1011"/>
      <c r="F83" s="106">
        <v>40</v>
      </c>
      <c r="G83" s="77">
        <v>2.0373080431631001</v>
      </c>
      <c r="H83" s="77">
        <v>2.0527423847511068</v>
      </c>
      <c r="I83" s="77">
        <v>2.068385516957012</v>
      </c>
      <c r="J83" s="77">
        <v>2.0842204041888848</v>
      </c>
      <c r="K83" s="77">
        <v>2.1002319185531984</v>
      </c>
      <c r="L83" s="77">
        <v>2.1164065800896816</v>
      </c>
      <c r="M83" s="77">
        <v>2.1327323383265346</v>
      </c>
      <c r="N83" s="77">
        <v>2.1491983876858445</v>
      </c>
      <c r="O83" s="77">
        <v>2.1657950107736106</v>
      </c>
      <c r="P83" s="77">
        <v>2.1825134447608074</v>
      </c>
      <c r="Q83" s="77">
        <v>2.199345766981136</v>
      </c>
      <c r="R83" s="77">
        <v>2.3726279638476635</v>
      </c>
      <c r="S83" s="77">
        <v>2.736058296070909</v>
      </c>
      <c r="T83" s="77">
        <v>3.1122543318555653</v>
      </c>
      <c r="U83" s="77">
        <v>3.4968593707907991</v>
      </c>
      <c r="V83" s="77">
        <v>3.8881627562850656</v>
      </c>
      <c r="W83" s="80">
        <v>4.2853558408435202</v>
      </c>
    </row>
    <row r="84" spans="3:23" x14ac:dyDescent="0.45">
      <c r="C84" s="1008"/>
      <c r="D84" s="8"/>
      <c r="E84" s="1011"/>
      <c r="F84" s="106">
        <v>50</v>
      </c>
      <c r="G84" s="77">
        <v>2.0896137287398195</v>
      </c>
      <c r="H84" s="77">
        <v>2.1055413096265072</v>
      </c>
      <c r="I84" s="77">
        <v>2.1216700126236301</v>
      </c>
      <c r="J84" s="77">
        <v>2.1379837076542851</v>
      </c>
      <c r="K84" s="77">
        <v>2.1544680417633622</v>
      </c>
      <c r="L84" s="77">
        <v>2.171110200936218</v>
      </c>
      <c r="M84" s="77">
        <v>2.1878987092244464</v>
      </c>
      <c r="N84" s="77">
        <v>2.2048232585347325</v>
      </c>
      <c r="O84" s="77">
        <v>2.2218745637554989</v>
      </c>
      <c r="P84" s="77">
        <v>2.2390442389274354</v>
      </c>
      <c r="Q84" s="77">
        <v>2.2563246909759771</v>
      </c>
      <c r="R84" s="77">
        <v>2.4339666386670853</v>
      </c>
      <c r="S84" s="77">
        <v>2.8057763718567124</v>
      </c>
      <c r="T84" s="77">
        <v>3.1901317127402442</v>
      </c>
      <c r="U84" s="77">
        <v>3.5827432870114864</v>
      </c>
      <c r="V84" s="77">
        <v>3.9819153273332377</v>
      </c>
      <c r="W84" s="80">
        <v>4.3868427819334403</v>
      </c>
    </row>
    <row r="85" spans="3:23" x14ac:dyDescent="0.45">
      <c r="C85" s="1008"/>
      <c r="D85" s="8"/>
      <c r="E85" s="1011"/>
      <c r="F85" s="106">
        <v>60</v>
      </c>
      <c r="G85" s="77">
        <v>2.141528360183425</v>
      </c>
      <c r="H85" s="77">
        <v>2.1579401579058723</v>
      </c>
      <c r="I85" s="77">
        <v>2.1745457805935371</v>
      </c>
      <c r="J85" s="77">
        <v>2.1913299322172541</v>
      </c>
      <c r="K85" s="77">
        <v>2.2082789757251549</v>
      </c>
      <c r="L85" s="77">
        <v>2.2253807140682738</v>
      </c>
      <c r="M85" s="77">
        <v>2.2426242050179579</v>
      </c>
      <c r="N85" s="77">
        <v>2.2599996038438142</v>
      </c>
      <c r="O85" s="77">
        <v>2.2774980290816238</v>
      </c>
      <c r="P85" s="77">
        <v>2.2951114475319274</v>
      </c>
      <c r="Q85" s="77">
        <v>2.3128325753499963</v>
      </c>
      <c r="R85" s="77">
        <v>2.4947593629777716</v>
      </c>
      <c r="S85" s="77">
        <v>2.8747819238936065</v>
      </c>
      <c r="T85" s="77">
        <v>3.2671006320018936</v>
      </c>
      <c r="U85" s="77">
        <v>3.6674931670135829</v>
      </c>
      <c r="V85" s="77">
        <v>4.0742792318091325</v>
      </c>
      <c r="W85" s="80">
        <v>4.4866578020420338</v>
      </c>
    </row>
    <row r="86" spans="3:23" x14ac:dyDescent="0.45">
      <c r="C86" s="1008"/>
      <c r="D86" s="8"/>
      <c r="E86" s="1011"/>
      <c r="F86" s="106">
        <v>70</v>
      </c>
      <c r="G86" s="77">
        <v>2.1929496008511369</v>
      </c>
      <c r="H86" s="77">
        <v>2.2098343958171922</v>
      </c>
      <c r="I86" s="77">
        <v>2.2269060320474372</v>
      </c>
      <c r="J86" s="77">
        <v>2.2441499832628651</v>
      </c>
      <c r="K86" s="77">
        <v>2.2615532749843714</v>
      </c>
      <c r="L86" s="77">
        <v>2.2791042827051089</v>
      </c>
      <c r="M86" s="77">
        <v>2.2967925607639774</v>
      </c>
      <c r="N86" s="77">
        <v>2.3146086966064843</v>
      </c>
      <c r="O86" s="77">
        <v>2.3325441861449496</v>
      </c>
      <c r="P86" s="77">
        <v>2.3505913267382672</v>
      </c>
      <c r="Q86" s="77">
        <v>2.3687431249522075</v>
      </c>
      <c r="R86" s="77">
        <v>2.5548529692083926</v>
      </c>
      <c r="S86" s="77">
        <v>2.9428613215238624</v>
      </c>
      <c r="T86" s="77">
        <v>3.3428780561575349</v>
      </c>
      <c r="U86" s="77">
        <v>3.7507474339446025</v>
      </c>
      <c r="V86" s="77">
        <v>4.1648050971457913</v>
      </c>
      <c r="W86" s="80">
        <v>4.5842544240509113</v>
      </c>
    </row>
    <row r="87" spans="3:23" x14ac:dyDescent="0.45">
      <c r="C87" s="1008"/>
      <c r="D87" s="8"/>
      <c r="E87" s="1011"/>
      <c r="F87" s="106">
        <v>80</v>
      </c>
      <c r="G87" s="77">
        <v>2.2437194885659038</v>
      </c>
      <c r="H87" s="77">
        <v>2.2610627090939426</v>
      </c>
      <c r="I87" s="77">
        <v>2.2785860338925747</v>
      </c>
      <c r="J87" s="77">
        <v>2.2962756484540572</v>
      </c>
      <c r="K87" s="77">
        <v>2.314119192597218</v>
      </c>
      <c r="L87" s="77">
        <v>2.3321055739943568</v>
      </c>
      <c r="M87" s="77">
        <v>2.3502248096721852</v>
      </c>
      <c r="N87" s="77">
        <v>2.3684678907102259</v>
      </c>
      <c r="O87" s="77">
        <v>2.3868266662700379</v>
      </c>
      <c r="P87" s="77">
        <v>2.4052937438080528</v>
      </c>
      <c r="Q87" s="77">
        <v>2.4238624028971172</v>
      </c>
      <c r="R87" s="77">
        <v>2.6140134477678694</v>
      </c>
      <c r="S87" s="77">
        <v>3.0096900175454069</v>
      </c>
      <c r="T87" s="77">
        <v>3.4170351142753765</v>
      </c>
      <c r="U87" s="77">
        <v>3.8319589429465526</v>
      </c>
      <c r="V87" s="77">
        <v>4.252813457132417</v>
      </c>
      <c r="W87" s="80">
        <v>4.6788067628037613</v>
      </c>
    </row>
    <row r="88" spans="3:23" x14ac:dyDescent="0.45">
      <c r="C88" s="1008"/>
      <c r="D88" s="8"/>
      <c r="E88" s="1011"/>
      <c r="F88" s="106">
        <v>90</v>
      </c>
      <c r="G88" s="77">
        <v>2.2935843868178329</v>
      </c>
      <c r="H88" s="77">
        <v>2.311366108387761</v>
      </c>
      <c r="I88" s="77">
        <v>2.3293213593703328</v>
      </c>
      <c r="J88" s="77">
        <v>2.3474369846320271</v>
      </c>
      <c r="K88" s="77">
        <v>2.3657011945041138</v>
      </c>
      <c r="L88" s="77">
        <v>2.3841033920995338</v>
      </c>
      <c r="M88" s="77">
        <v>2.4026340261892996</v>
      </c>
      <c r="N88" s="77">
        <v>2.4212844653309635</v>
      </c>
      <c r="O88" s="77">
        <v>2.4400468897518528</v>
      </c>
      <c r="P88" s="77">
        <v>2.4589141981323777</v>
      </c>
      <c r="Q88" s="77">
        <v>2.4778799269475247</v>
      </c>
      <c r="R88" s="77">
        <v>2.6718673219410385</v>
      </c>
      <c r="S88" s="77">
        <v>3.0747518817048536</v>
      </c>
      <c r="T88" s="77">
        <v>3.4888909130368582</v>
      </c>
      <c r="U88" s="77">
        <v>3.9102597949472226</v>
      </c>
      <c r="V88" s="77">
        <v>4.3372270796961665</v>
      </c>
      <c r="W88" s="80">
        <v>4.7690058814012932</v>
      </c>
    </row>
    <row r="89" spans="3:23" x14ac:dyDescent="0.45">
      <c r="C89" s="1008"/>
      <c r="D89" s="8"/>
      <c r="E89" s="1011"/>
      <c r="F89" s="106">
        <v>100</v>
      </c>
      <c r="G89" s="77">
        <v>2.3421138216640069</v>
      </c>
      <c r="H89" s="77">
        <v>2.3603050560733712</v>
      </c>
      <c r="I89" s="77">
        <v>2.3786632868469306</v>
      </c>
      <c r="J89" s="77">
        <v>2.3971759707708458</v>
      </c>
      <c r="K89" s="77">
        <v>2.4158318488977901</v>
      </c>
      <c r="L89" s="77">
        <v>2.4346207862833729</v>
      </c>
      <c r="M89" s="77">
        <v>2.4535336351373207</v>
      </c>
      <c r="N89" s="77">
        <v>2.4725621174932066</v>
      </c>
      <c r="O89" s="77">
        <v>2.4916987242242459</v>
      </c>
      <c r="P89" s="77">
        <v>2.510936627808634</v>
      </c>
      <c r="Q89" s="77">
        <v>2.5302696067087922</v>
      </c>
      <c r="R89" s="77">
        <v>2.7277829242395146</v>
      </c>
      <c r="S89" s="77">
        <v>3.1371758755506929</v>
      </c>
      <c r="T89" s="77">
        <v>3.557297560414435</v>
      </c>
      <c r="U89" s="77">
        <v>3.9841876546083861</v>
      </c>
      <c r="V89" s="77">
        <v>4.4162315229300884</v>
      </c>
      <c r="W89" s="80">
        <v>4.8526475284725574</v>
      </c>
    </row>
    <row r="90" spans="3:23" x14ac:dyDescent="0.45">
      <c r="C90" s="1008"/>
      <c r="D90" s="8"/>
      <c r="E90" s="1011"/>
      <c r="F90" s="106">
        <v>200</v>
      </c>
      <c r="G90" s="77">
        <v>2.9590754711806189</v>
      </c>
      <c r="H90" s="77">
        <v>2.98408485866499</v>
      </c>
      <c r="I90" s="77">
        <v>3.009238310150903</v>
      </c>
      <c r="J90" s="77">
        <v>3.0345275582856202</v>
      </c>
      <c r="K90" s="77">
        <v>3.0599450897435867</v>
      </c>
      <c r="L90" s="77">
        <v>3.0854840611786511</v>
      </c>
      <c r="M90" s="77">
        <v>3.1111382261732095</v>
      </c>
      <c r="N90" s="77">
        <v>3.136901871541439</v>
      </c>
      <c r="O90" s="77">
        <v>3.1627697616184127</v>
      </c>
      <c r="P90" s="77">
        <v>3.1887370893909122</v>
      </c>
      <c r="Q90" s="77">
        <v>3.2147994335093606</v>
      </c>
      <c r="R90" s="77">
        <v>3.4798873311095866</v>
      </c>
      <c r="S90" s="77">
        <v>4.02798473795501</v>
      </c>
      <c r="T90" s="77">
        <v>4.5932120562446546</v>
      </c>
      <c r="U90" s="77">
        <v>5.172192148814827</v>
      </c>
      <c r="V90" s="77">
        <v>5.7634796435817979</v>
      </c>
      <c r="W90" s="80">
        <v>6.3663525007378148</v>
      </c>
    </row>
    <row r="91" spans="3:23" x14ac:dyDescent="0.45">
      <c r="C91" s="1008"/>
      <c r="D91" s="8"/>
      <c r="E91" s="1011"/>
      <c r="F91" s="106">
        <v>300</v>
      </c>
      <c r="G91" s="77">
        <v>3.4554378889259585</v>
      </c>
      <c r="H91" s="77">
        <v>3.4846561133619587</v>
      </c>
      <c r="I91" s="77">
        <v>3.5139852496503261</v>
      </c>
      <c r="J91" s="77">
        <v>3.5434193795656084</v>
      </c>
      <c r="K91" s="77">
        <v>3.5729530794251372</v>
      </c>
      <c r="L91" s="77">
        <v>3.6025813694894389</v>
      </c>
      <c r="M91" s="77">
        <v>3.6322996694506324</v>
      </c>
      <c r="N91" s="77">
        <v>3.6621037591710515</v>
      </c>
      <c r="O91" s="77">
        <v>3.6919897439635294</v>
      </c>
      <c r="P91" s="77">
        <v>3.7219540238120157</v>
      </c>
      <c r="Q91" s="77">
        <v>3.7519932660204849</v>
      </c>
      <c r="R91" s="77">
        <v>4.0559246618312912</v>
      </c>
      <c r="S91" s="77">
        <v>4.6780020545114924</v>
      </c>
      <c r="T91" s="77">
        <v>5.3134618992330225</v>
      </c>
      <c r="U91" s="77">
        <v>5.9593972525409571</v>
      </c>
      <c r="V91" s="77">
        <v>6.6145176184094998</v>
      </c>
      <c r="W91" s="80">
        <v>7.2781625171630786</v>
      </c>
    </row>
    <row r="92" spans="3:23" x14ac:dyDescent="0.45">
      <c r="C92" s="1008"/>
      <c r="D92" s="8"/>
      <c r="E92" s="1011"/>
      <c r="F92" s="106">
        <v>400</v>
      </c>
      <c r="G92" s="77">
        <v>3.9789345128153433</v>
      </c>
      <c r="H92" s="77">
        <v>4.0128796975402716</v>
      </c>
      <c r="I92" s="77">
        <v>4.046917268160211</v>
      </c>
      <c r="J92" s="77">
        <v>4.0810427362297181</v>
      </c>
      <c r="K92" s="77">
        <v>4.1152519634401088</v>
      </c>
      <c r="L92" s="77">
        <v>4.1495411281305277</v>
      </c>
      <c r="M92" s="77">
        <v>4.1839066955705331</v>
      </c>
      <c r="N92" s="77">
        <v>4.218345391527798</v>
      </c>
      <c r="O92" s="77">
        <v>4.2528541787049265</v>
      </c>
      <c r="P92" s="77">
        <v>4.2874302356884675</v>
      </c>
      <c r="Q92" s="77">
        <v>4.3220709381031481</v>
      </c>
      <c r="R92" s="77">
        <v>4.6715676635875294</v>
      </c>
      <c r="S92" s="77">
        <v>5.3832570386776508</v>
      </c>
      <c r="T92" s="77">
        <v>6.1071845734630825</v>
      </c>
      <c r="U92" s="77">
        <v>6.8408177174713796</v>
      </c>
      <c r="V92" s="77">
        <v>7.5829995915753816</v>
      </c>
      <c r="W92" s="80">
        <v>8.3331265942419659</v>
      </c>
    </row>
    <row r="93" spans="3:23" x14ac:dyDescent="0.45">
      <c r="C93" s="1008"/>
      <c r="D93" s="8"/>
      <c r="E93" s="1011"/>
      <c r="F93" s="106">
        <v>500</v>
      </c>
      <c r="G93" s="77">
        <v>4.5049680547106252</v>
      </c>
      <c r="H93" s="77">
        <v>4.5436554729553826</v>
      </c>
      <c r="I93" s="77">
        <v>4.5824224999199412</v>
      </c>
      <c r="J93" s="77">
        <v>4.6212655847902067</v>
      </c>
      <c r="K93" s="77">
        <v>4.6601814387652052</v>
      </c>
      <c r="L93" s="77">
        <v>4.6991670113275372</v>
      </c>
      <c r="M93" s="77">
        <v>4.7382194690468529</v>
      </c>
      <c r="N93" s="77">
        <v>4.7773361766064282</v>
      </c>
      <c r="O93" s="77">
        <v>4.8165146797854934</v>
      </c>
      <c r="P93" s="77">
        <v>4.8557526901660708</v>
      </c>
      <c r="Q93" s="77">
        <v>4.8950480713638624</v>
      </c>
      <c r="R93" s="77">
        <v>5.2907743014720729</v>
      </c>
      <c r="S93" s="77">
        <v>6.0938668752371408</v>
      </c>
      <c r="T93" s="77">
        <v>6.9084564657579692</v>
      </c>
      <c r="U93" s="77">
        <v>7.7323107190024869</v>
      </c>
      <c r="V93" s="77">
        <v>8.5643862196124818</v>
      </c>
      <c r="W93" s="80">
        <v>9.4041299706412502</v>
      </c>
    </row>
    <row r="94" spans="3:23" x14ac:dyDescent="0.45">
      <c r="C94" s="1008"/>
      <c r="D94" s="8"/>
      <c r="E94" s="1011"/>
      <c r="F94" s="106">
        <v>600</v>
      </c>
      <c r="G94" s="77">
        <v>5.0314883007101781</v>
      </c>
      <c r="H94" s="77">
        <v>5.0749002158702119</v>
      </c>
      <c r="I94" s="77">
        <v>5.1183823733503937</v>
      </c>
      <c r="J94" s="77">
        <v>5.1619318729002321</v>
      </c>
      <c r="K94" s="77">
        <v>5.205546018667766</v>
      </c>
      <c r="L94" s="77">
        <v>5.2492223015048038</v>
      </c>
      <c r="M94" s="77">
        <v>5.2929583830790721</v>
      </c>
      <c r="N94" s="77">
        <v>5.3367520815816158</v>
      </c>
      <c r="O94" s="77">
        <v>5.3806013588456594</v>
      </c>
      <c r="P94" s="77">
        <v>5.4245043087169389</v>
      </c>
      <c r="Q94" s="77">
        <v>5.468459146535908</v>
      </c>
      <c r="R94" s="77">
        <v>5.9105388900252516</v>
      </c>
      <c r="S94" s="77">
        <v>6.8055295024431732</v>
      </c>
      <c r="T94" s="77">
        <v>7.7114559628257986</v>
      </c>
      <c r="U94" s="77">
        <v>8.6263296408568628</v>
      </c>
      <c r="V94" s="77">
        <v>9.5492033685274684</v>
      </c>
      <c r="W94" s="80">
        <v>10.47956859124861</v>
      </c>
    </row>
    <row r="95" spans="3:23" x14ac:dyDescent="0.45">
      <c r="C95" s="1008"/>
      <c r="D95" s="8"/>
      <c r="E95" s="1011"/>
      <c r="F95" s="106">
        <v>700</v>
      </c>
      <c r="G95" s="77">
        <v>5.5580655193913548</v>
      </c>
      <c r="H95" s="77">
        <v>5.6061821401242966</v>
      </c>
      <c r="I95" s="77">
        <v>5.6543618629528449</v>
      </c>
      <c r="J95" s="77">
        <v>5.7026022592972847</v>
      </c>
      <c r="K95" s="77">
        <v>5.7509010652476302</v>
      </c>
      <c r="L95" s="77">
        <v>5.7992561678394763</v>
      </c>
      <c r="M95" s="77">
        <v>5.8476655926799417</v>
      </c>
      <c r="N95" s="77">
        <v>5.8961274927712406</v>
      </c>
      <c r="O95" s="77">
        <v>5.9446401383987926</v>
      </c>
      <c r="P95" s="77">
        <v>5.9932019079674372</v>
      </c>
      <c r="Q95" s="77">
        <v>6.041811279683623</v>
      </c>
      <c r="R95" s="77">
        <v>6.5302463570540699</v>
      </c>
      <c r="S95" s="77">
        <v>7.5173015042139379</v>
      </c>
      <c r="T95" s="77">
        <v>8.5148417421968929</v>
      </c>
      <c r="U95" s="77">
        <v>9.5210790105937342</v>
      </c>
      <c r="V95" s="77">
        <v>10.535148162083139</v>
      </c>
      <c r="W95" s="80">
        <v>11.556579561659291</v>
      </c>
    </row>
    <row r="96" spans="3:23" x14ac:dyDescent="0.45">
      <c r="C96" s="1008"/>
      <c r="D96" s="8"/>
      <c r="E96" s="1011"/>
      <c r="F96" s="106">
        <v>800</v>
      </c>
      <c r="G96" s="77">
        <v>6.0845868665953722</v>
      </c>
      <c r="H96" s="77">
        <v>6.1373909312378707</v>
      </c>
      <c r="I96" s="77">
        <v>6.190252491807807</v>
      </c>
      <c r="J96" s="77">
        <v>6.2431694739209131</v>
      </c>
      <c r="K96" s="77">
        <v>6.2961399392844015</v>
      </c>
      <c r="L96" s="77">
        <v>6.34916207471659</v>
      </c>
      <c r="M96" s="77">
        <v>6.4022341822127622</v>
      </c>
      <c r="N96" s="77">
        <v>6.4553546699427891</v>
      </c>
      <c r="O96" s="77">
        <v>6.5085220440801148</v>
      </c>
      <c r="P96" s="77">
        <v>6.5617349013738995</v>
      </c>
      <c r="Q96" s="77">
        <v>6.6149919223866451</v>
      </c>
      <c r="R96" s="77">
        <v>7.1497498874031251</v>
      </c>
      <c r="S96" s="77">
        <v>8.2289214030312756</v>
      </c>
      <c r="T96" s="77">
        <v>9.3182045365969195</v>
      </c>
      <c r="U96" s="77">
        <v>10.415978453375889</v>
      </c>
      <c r="V96" s="77">
        <v>11.521448378017094</v>
      </c>
      <c r="W96" s="80">
        <v>12.634178815976998</v>
      </c>
    </row>
    <row r="97" spans="3:23" ht="14.65" thickBot="1" x14ac:dyDescent="0.5">
      <c r="C97" s="1008"/>
      <c r="D97" s="8"/>
      <c r="E97" s="1012"/>
      <c r="F97" s="909">
        <v>900</v>
      </c>
      <c r="G97" s="78">
        <v>6.6110251306583745</v>
      </c>
      <c r="H97" s="78">
        <v>6.6685023215599379</v>
      </c>
      <c r="I97" s="78">
        <v>6.7260325017314315</v>
      </c>
      <c r="J97" s="78">
        <v>6.783613870497037</v>
      </c>
      <c r="K97" s="78">
        <v>6.8412447419984233</v>
      </c>
      <c r="L97" s="78">
        <v>6.8989235361868788</v>
      </c>
      <c r="M97" s="78">
        <v>6.9566487706503812</v>
      </c>
      <c r="N97" s="78">
        <v>7.0144190531866926</v>
      </c>
      <c r="O97" s="78">
        <v>7.0722330750442275</v>
      </c>
      <c r="P97" s="78">
        <v>7.13008960476167</v>
      </c>
      <c r="Q97" s="78">
        <v>7.1879874825453847</v>
      </c>
      <c r="R97" s="78">
        <v>7.7690273799433047</v>
      </c>
      <c r="S97" s="78">
        <v>8.9403208255146627</v>
      </c>
      <c r="T97" s="78">
        <v>10.121410190185298</v>
      </c>
      <c r="U97" s="78">
        <v>11.310815756669522</v>
      </c>
      <c r="V97" s="78">
        <v>12.507803577664584</v>
      </c>
      <c r="W97" s="81">
        <v>13.711968219299361</v>
      </c>
    </row>
    <row r="98" spans="3:23" ht="14.65" thickBot="1" x14ac:dyDescent="0.5">
      <c r="C98" s="1008"/>
      <c r="D98" s="8"/>
      <c r="G98" s="834"/>
      <c r="H98" s="834"/>
      <c r="I98" s="834"/>
      <c r="J98" s="834"/>
      <c r="K98" s="834"/>
      <c r="L98" s="834"/>
      <c r="M98" s="834"/>
      <c r="N98" s="834"/>
      <c r="O98" s="834"/>
      <c r="P98" s="834"/>
      <c r="Q98" s="834"/>
      <c r="R98" s="834"/>
      <c r="S98" s="834"/>
      <c r="T98" s="834"/>
      <c r="U98" s="834"/>
      <c r="V98" s="834"/>
      <c r="W98" s="834"/>
    </row>
    <row r="99" spans="3:23" ht="14.65" thickBot="1" x14ac:dyDescent="0.5">
      <c r="C99" s="1008"/>
      <c r="D99" s="911" t="s">
        <v>342</v>
      </c>
      <c r="E99" s="37"/>
      <c r="F99" s="37" t="s">
        <v>408</v>
      </c>
      <c r="G99" s="926">
        <v>0</v>
      </c>
      <c r="H99" s="927">
        <v>10</v>
      </c>
      <c r="I99" s="927">
        <v>20</v>
      </c>
      <c r="J99" s="927">
        <v>30</v>
      </c>
      <c r="K99" s="927">
        <v>40</v>
      </c>
      <c r="L99" s="927">
        <v>50</v>
      </c>
      <c r="M99" s="927">
        <v>60</v>
      </c>
      <c r="N99" s="927">
        <v>70</v>
      </c>
      <c r="O99" s="927">
        <v>80</v>
      </c>
      <c r="P99" s="927">
        <v>90</v>
      </c>
      <c r="Q99" s="927">
        <v>100</v>
      </c>
      <c r="R99" s="927">
        <v>200</v>
      </c>
      <c r="S99" s="927">
        <v>400</v>
      </c>
      <c r="T99" s="927">
        <v>600</v>
      </c>
      <c r="U99" s="927">
        <v>800</v>
      </c>
      <c r="V99" s="927">
        <v>1000</v>
      </c>
      <c r="W99" s="928">
        <v>1200</v>
      </c>
    </row>
    <row r="100" spans="3:23" x14ac:dyDescent="0.45">
      <c r="C100" s="1008"/>
      <c r="D100" s="920"/>
      <c r="E100" s="1010" t="s">
        <v>407</v>
      </c>
      <c r="F100" s="910">
        <v>0</v>
      </c>
      <c r="G100" s="923">
        <v>2.9717005967527488</v>
      </c>
      <c r="H100" s="923">
        <v>2.9974439488751323</v>
      </c>
      <c r="I100" s="923">
        <v>3.0232184313604149</v>
      </c>
      <c r="J100" s="923">
        <v>3.0490237586467606</v>
      </c>
      <c r="K100" s="923">
        <v>3.0748596783041249</v>
      </c>
      <c r="L100" s="923">
        <v>3.1007259663646298</v>
      </c>
      <c r="M100" s="923">
        <v>3.1266224234210584</v>
      </c>
      <c r="N100" s="923">
        <v>3.1525488713499903</v>
      </c>
      <c r="O100" s="923">
        <v>3.1785051505459414</v>
      </c>
      <c r="P100" s="923">
        <v>3.204491117575885</v>
      </c>
      <c r="Q100" s="923">
        <v>3.2305066431814664</v>
      </c>
      <c r="R100" s="76">
        <v>3.492266507932543</v>
      </c>
      <c r="S100" s="76">
        <v>4.0243762297181593</v>
      </c>
      <c r="T100" s="76">
        <v>4.5677868755025877</v>
      </c>
      <c r="U100" s="76">
        <v>5.122431442591477</v>
      </c>
      <c r="V100" s="76">
        <v>5.6882840103348418</v>
      </c>
      <c r="W100" s="79">
        <v>6.2653324387106215</v>
      </c>
    </row>
    <row r="101" spans="3:23" x14ac:dyDescent="0.45">
      <c r="C101" s="1008"/>
      <c r="D101" s="920"/>
      <c r="E101" s="1011"/>
      <c r="F101" s="106">
        <v>10</v>
      </c>
      <c r="G101" s="77">
        <v>2.9713735003635873</v>
      </c>
      <c r="H101" s="77">
        <v>2.9970995218413683</v>
      </c>
      <c r="I101" s="77">
        <v>3.0228564782253406</v>
      </c>
      <c r="J101" s="77">
        <v>3.0486440846356118</v>
      </c>
      <c r="K101" s="77">
        <v>3.0744620892286685</v>
      </c>
      <c r="L101" s="77">
        <v>3.1003102685434314</v>
      </c>
      <c r="M101" s="77">
        <v>3.1261884236124935</v>
      </c>
      <c r="N101" s="77">
        <v>3.1520963766956704</v>
      </c>
      <c r="O101" s="77">
        <v>3.1780339685227128</v>
      </c>
      <c r="P101" s="77">
        <v>3.2040010559549144</v>
      </c>
      <c r="Q101" s="77">
        <v>3.2299975099932152</v>
      </c>
      <c r="R101" s="77">
        <v>3.4915561406393483</v>
      </c>
      <c r="S101" s="77">
        <v>4.0232062953231758</v>
      </c>
      <c r="T101" s="77">
        <v>4.5660814626755588</v>
      </c>
      <c r="U101" s="77">
        <v>5.1201147191557386</v>
      </c>
      <c r="V101" s="77">
        <v>5.6852801693898201</v>
      </c>
      <c r="W101" s="80">
        <v>6.2615656836388176</v>
      </c>
    </row>
    <row r="102" spans="3:23" x14ac:dyDescent="0.45">
      <c r="C102" s="1008"/>
      <c r="D102" s="920"/>
      <c r="E102" s="1011"/>
      <c r="F102" s="106">
        <v>20</v>
      </c>
      <c r="G102" s="77">
        <v>2.9709205163083285</v>
      </c>
      <c r="H102" s="924">
        <v>2.9966265585405054</v>
      </c>
      <c r="I102" s="77">
        <v>3.022363312891069</v>
      </c>
      <c r="J102" s="77">
        <v>3.0481304951601356</v>
      </c>
      <c r="K102" s="77">
        <v>3.0739278540891135</v>
      </c>
      <c r="L102" s="77">
        <v>3.0997551667223662</v>
      </c>
      <c r="M102" s="77">
        <v>3.1256122345311512</v>
      </c>
      <c r="N102" s="77">
        <v>3.1514988801575488</v>
      </c>
      <c r="O102" s="77">
        <v>3.1774149446657178</v>
      </c>
      <c r="P102" s="77">
        <v>3.2033602852105618</v>
      </c>
      <c r="Q102" s="77">
        <v>3.2293347730517086</v>
      </c>
      <c r="R102" s="77">
        <v>3.4906617194919041</v>
      </c>
      <c r="S102" s="77">
        <v>4.0217832037755503</v>
      </c>
      <c r="T102" s="77">
        <v>4.5640428515687841</v>
      </c>
      <c r="U102" s="77">
        <v>5.1173738183801376</v>
      </c>
      <c r="V102" s="77">
        <v>5.681750234085464</v>
      </c>
      <c r="W102" s="80">
        <v>6.2571599792199128</v>
      </c>
    </row>
    <row r="103" spans="3:23" x14ac:dyDescent="0.45">
      <c r="C103" s="1008"/>
      <c r="D103" s="920"/>
      <c r="E103" s="1011"/>
      <c r="F103" s="106">
        <v>30</v>
      </c>
      <c r="G103" s="77">
        <v>3.0236835698951467</v>
      </c>
      <c r="H103" s="77">
        <v>3.0498326581906472</v>
      </c>
      <c r="I103" s="77">
        <v>3.0760120841556935</v>
      </c>
      <c r="J103" s="77">
        <v>3.102221579576264</v>
      </c>
      <c r="K103" s="77">
        <v>3.1284609067856985</v>
      </c>
      <c r="L103" s="77">
        <v>3.1547298544362317</v>
      </c>
      <c r="M103" s="77">
        <v>3.1810282339539864</v>
      </c>
      <c r="N103" s="77">
        <v>3.2073558765519241</v>
      </c>
      <c r="O103" s="77">
        <v>3.2337126307009232</v>
      </c>
      <c r="P103" s="77">
        <v>3.2600983599790476</v>
      </c>
      <c r="Q103" s="77">
        <v>3.2865129412346321</v>
      </c>
      <c r="R103" s="77">
        <v>3.5522254089808971</v>
      </c>
      <c r="S103" s="77">
        <v>4.0920391408148742</v>
      </c>
      <c r="T103" s="77">
        <v>4.6428896552090357</v>
      </c>
      <c r="U103" s="77">
        <v>5.2047111061391202</v>
      </c>
      <c r="V103" s="77">
        <v>5.7774778217643767</v>
      </c>
      <c r="W103" s="80">
        <v>6.3611777203228979</v>
      </c>
    </row>
    <row r="104" spans="3:23" x14ac:dyDescent="0.45">
      <c r="C104" s="1008"/>
      <c r="D104" s="920"/>
      <c r="E104" s="1011"/>
      <c r="F104" s="106">
        <v>40</v>
      </c>
      <c r="G104" s="77">
        <v>3.076250802609457</v>
      </c>
      <c r="H104" s="77">
        <v>3.1028388076730309</v>
      </c>
      <c r="I104" s="77">
        <v>3.1294567414426133</v>
      </c>
      <c r="J104" s="77">
        <v>3.156104350366606</v>
      </c>
      <c r="K104" s="77">
        <v>3.1827814092869029</v>
      </c>
      <c r="L104" s="77">
        <v>3.2094877175726428</v>
      </c>
      <c r="M104" s="77">
        <v>3.2362230958689548</v>
      </c>
      <c r="N104" s="77">
        <v>3.2629873833495182</v>
      </c>
      <c r="O104" s="77">
        <v>3.28978043538415</v>
      </c>
      <c r="P104" s="77">
        <v>3.3166021215500665</v>
      </c>
      <c r="Q104" s="77">
        <v>3.3434523239291636</v>
      </c>
      <c r="R104" s="77">
        <v>3.6135033181096938</v>
      </c>
      <c r="S104" s="77">
        <v>4.1619026755615209</v>
      </c>
      <c r="T104" s="77">
        <v>4.7212204898719499</v>
      </c>
      <c r="U104" s="77">
        <v>5.2913919174851474</v>
      </c>
      <c r="V104" s="77">
        <v>5.872391497606074</v>
      </c>
      <c r="W104" s="80">
        <v>6.4642071946173978</v>
      </c>
    </row>
    <row r="105" spans="3:23" x14ac:dyDescent="0.45">
      <c r="C105" s="1008"/>
      <c r="D105" s="920"/>
      <c r="E105" s="1011"/>
      <c r="F105" s="106">
        <v>50</v>
      </c>
      <c r="G105" s="77">
        <v>3.1285685657627007</v>
      </c>
      <c r="H105" s="77">
        <v>3.1555902283175463</v>
      </c>
      <c r="I105" s="77">
        <v>3.182641363802837</v>
      </c>
      <c r="J105" s="77">
        <v>3.2097217321443305</v>
      </c>
      <c r="K105" s="77">
        <v>3.2368311197178259</v>
      </c>
      <c r="L105" s="77">
        <v>3.2639693358041564</v>
      </c>
      <c r="M105" s="77">
        <v>3.2911362095994492</v>
      </c>
      <c r="N105" s="77">
        <v>3.3183315876817656</v>
      </c>
      <c r="O105" s="77">
        <v>3.3455553318548579</v>
      </c>
      <c r="P105" s="77">
        <v>3.3728073173051345</v>
      </c>
      <c r="Q105" s="77">
        <v>3.4000874310200162</v>
      </c>
      <c r="R105" s="77">
        <v>3.67441693927515</v>
      </c>
      <c r="S105" s="77">
        <v>4.2312657708598671</v>
      </c>
      <c r="T105" s="77">
        <v>4.7988931273683511</v>
      </c>
      <c r="U105" s="77">
        <v>5.3772351673022021</v>
      </c>
      <c r="V105" s="77">
        <v>5.966266651472667</v>
      </c>
      <c r="W105" s="80">
        <v>6.5659755977798522</v>
      </c>
    </row>
    <row r="106" spans="3:23" x14ac:dyDescent="0.45">
      <c r="C106" s="1008"/>
      <c r="D106" s="920"/>
      <c r="E106" s="1011"/>
      <c r="F106" s="106">
        <v>60</v>
      </c>
      <c r="G106" s="77">
        <v>3.1805613847008356</v>
      </c>
      <c r="H106" s="77">
        <v>3.2080098566756057</v>
      </c>
      <c r="I106" s="77">
        <v>3.2354872820141614</v>
      </c>
      <c r="J106" s="77">
        <v>3.2629934330559274</v>
      </c>
      <c r="K106" s="77">
        <v>3.2905281068319474</v>
      </c>
      <c r="L106" s="77">
        <v>3.3180911218057485</v>
      </c>
      <c r="M106" s="77">
        <v>3.3456823151171515</v>
      </c>
      <c r="N106" s="77">
        <v>3.3733015402407429</v>
      </c>
      <c r="O106" s="77">
        <v>3.4009486649880167</v>
      </c>
      <c r="P106" s="77">
        <v>3.4286235697957319</v>
      </c>
      <c r="Q106" s="77">
        <v>3.4563261462537742</v>
      </c>
      <c r="R106" s="77">
        <v>3.7348558646385044</v>
      </c>
      <c r="S106" s="77">
        <v>4.2999765176487372</v>
      </c>
      <c r="T106" s="77">
        <v>4.8757075992691554</v>
      </c>
      <c r="U106" s="77">
        <v>5.4619862660091361</v>
      </c>
      <c r="V106" s="77">
        <v>6.0587875089330598</v>
      </c>
      <c r="W106" s="80">
        <v>6.6660994058837808</v>
      </c>
    </row>
    <row r="107" spans="3:23" x14ac:dyDescent="0.45">
      <c r="C107" s="1008"/>
      <c r="D107" s="920"/>
      <c r="E107" s="1011"/>
      <c r="F107" s="106">
        <v>70</v>
      </c>
      <c r="G107" s="77">
        <v>3.2321196459267627</v>
      </c>
      <c r="H107" s="77">
        <v>3.2599857725251269</v>
      </c>
      <c r="I107" s="77">
        <v>3.2878802447887092</v>
      </c>
      <c r="J107" s="77">
        <v>3.3158028465136171</v>
      </c>
      <c r="K107" s="77">
        <v>3.3437533845923886</v>
      </c>
      <c r="L107" s="77">
        <v>3.3717316860100608</v>
      </c>
      <c r="M107" s="77">
        <v>3.3997375952971853</v>
      </c>
      <c r="N107" s="77">
        <v>3.4277709723607006</v>
      </c>
      <c r="O107" s="77">
        <v>3.4558316906288358</v>
      </c>
      <c r="P107" s="77">
        <v>3.4839196354582622</v>
      </c>
      <c r="Q107" s="77">
        <v>3.5120347027612286</v>
      </c>
      <c r="R107" s="77">
        <v>3.7946597827103936</v>
      </c>
      <c r="S107" s="77">
        <v>4.3678143715712592</v>
      </c>
      <c r="T107" s="77">
        <v>4.9513736037804357</v>
      </c>
      <c r="U107" s="77">
        <v>5.5452756268167143</v>
      </c>
      <c r="V107" s="77">
        <v>6.1494956689804585</v>
      </c>
      <c r="W107" s="80">
        <v>6.7640218736417701</v>
      </c>
    </row>
    <row r="108" spans="3:23" x14ac:dyDescent="0.45">
      <c r="C108" s="1008"/>
      <c r="D108" s="920"/>
      <c r="E108" s="1011"/>
      <c r="F108" s="106">
        <v>80</v>
      </c>
      <c r="G108" s="77">
        <v>3.2830778802156928</v>
      </c>
      <c r="H108" s="77">
        <v>3.3113490250415345</v>
      </c>
      <c r="I108" s="77">
        <v>3.3396477832772113</v>
      </c>
      <c r="J108" s="77">
        <v>3.3679739493125767</v>
      </c>
      <c r="K108" s="77">
        <v>3.3963273391831583</v>
      </c>
      <c r="L108" s="77">
        <v>3.4247077877947545</v>
      </c>
      <c r="M108" s="77">
        <v>3.4531151465643966</v>
      </c>
      <c r="N108" s="77">
        <v>3.4815492814065641</v>
      </c>
      <c r="O108" s="77">
        <v>3.5100100710071214</v>
      </c>
      <c r="P108" s="77">
        <v>3.5384974053381195</v>
      </c>
      <c r="Q108" s="77">
        <v>3.5670111843751457</v>
      </c>
      <c r="R108" s="77">
        <v>3.8535867262260486</v>
      </c>
      <c r="S108" s="77">
        <v>4.4344464790078799</v>
      </c>
      <c r="T108" s="77">
        <v>5.0254530230923109</v>
      </c>
      <c r="U108" s="77">
        <v>5.626545487447105</v>
      </c>
      <c r="V108" s="77">
        <v>6.2376993431443131</v>
      </c>
      <c r="W108" s="80">
        <v>6.8589028039191344</v>
      </c>
    </row>
    <row r="109" spans="3:23" x14ac:dyDescent="0.45">
      <c r="C109" s="1008"/>
      <c r="D109" s="920"/>
      <c r="E109" s="1011"/>
      <c r="F109" s="106">
        <v>90</v>
      </c>
      <c r="G109" s="77">
        <v>3.3331740420931553</v>
      </c>
      <c r="H109" s="77">
        <v>3.3618320555421866</v>
      </c>
      <c r="I109" s="77">
        <v>3.390516768230055</v>
      </c>
      <c r="J109" s="77">
        <v>3.4192279843605009</v>
      </c>
      <c r="K109" s="77">
        <v>3.4479655284603532</v>
      </c>
      <c r="L109" s="77">
        <v>3.4767292428093697</v>
      </c>
      <c r="M109" s="77">
        <v>3.5055189852505082</v>
      </c>
      <c r="N109" s="77">
        <v>3.5343346273164951</v>
      </c>
      <c r="O109" s="77">
        <v>3.5631760526206584</v>
      </c>
      <c r="P109" s="77">
        <v>3.5920431554695207</v>
      </c>
      <c r="Q109" s="77">
        <v>3.6209358396623084</v>
      </c>
      <c r="R109" s="77">
        <v>3.9112535362712446</v>
      </c>
      <c r="S109" s="77">
        <v>4.499345788033315</v>
      </c>
      <c r="T109" s="77">
        <v>5.0972521431723194</v>
      </c>
      <c r="U109" s="77">
        <v>5.7049127006826215</v>
      </c>
      <c r="V109" s="77">
        <v>6.322303178685134</v>
      </c>
      <c r="W109" s="80">
        <v>6.949411865454505</v>
      </c>
    </row>
    <row r="110" spans="3:23" ht="15" customHeight="1" x14ac:dyDescent="0.45">
      <c r="C110" s="1008"/>
      <c r="D110" s="921"/>
      <c r="E110" s="1011"/>
      <c r="F110" s="106">
        <v>100</v>
      </c>
      <c r="G110" s="77">
        <v>3.3819670742873305</v>
      </c>
      <c r="H110" s="77">
        <v>3.4109845276070456</v>
      </c>
      <c r="I110" s="77">
        <v>3.440027487875787</v>
      </c>
      <c r="J110" s="77">
        <v>3.4690957684048884</v>
      </c>
      <c r="K110" s="77">
        <v>3.498189201620244</v>
      </c>
      <c r="L110" s="77">
        <v>3.527307636677</v>
      </c>
      <c r="M110" s="77">
        <v>3.5564509374227495</v>
      </c>
      <c r="N110" s="77">
        <v>3.5856189806512289</v>
      </c>
      <c r="O110" s="77">
        <v>3.6148116545993059</v>
      </c>
      <c r="P110" s="77">
        <v>3.6440288576486131</v>
      </c>
      <c r="Q110" s="77">
        <v>3.6732704972000292</v>
      </c>
      <c r="R110" s="77">
        <v>3.9670153377914175</v>
      </c>
      <c r="S110" s="77">
        <v>4.5616252726697191</v>
      </c>
      <c r="T110" s="77">
        <v>5.1656034643200179</v>
      </c>
      <c r="U110" s="77">
        <v>5.7788909687065519</v>
      </c>
      <c r="V110" s="77">
        <v>6.4014637541819681</v>
      </c>
      <c r="W110" s="80">
        <v>7.0333101871447674</v>
      </c>
    </row>
    <row r="111" spans="3:23" x14ac:dyDescent="0.45">
      <c r="C111" s="1008"/>
      <c r="D111" s="8"/>
      <c r="E111" s="1011"/>
      <c r="F111" s="106">
        <v>200</v>
      </c>
      <c r="G111" s="77">
        <v>4.0057136610954087</v>
      </c>
      <c r="H111" s="77">
        <v>4.0411821395784324</v>
      </c>
      <c r="I111" s="77">
        <v>4.0766939087297596</v>
      </c>
      <c r="J111" s="77">
        <v>4.1122488455010959</v>
      </c>
      <c r="K111" s="77">
        <v>4.1478468380668154</v>
      </c>
      <c r="L111" s="77">
        <v>4.1834877845730283</v>
      </c>
      <c r="M111" s="77">
        <v>4.2191715920503068</v>
      </c>
      <c r="N111" s="77">
        <v>4.2548981754656579</v>
      </c>
      <c r="O111" s="77">
        <v>4.2906674568933347</v>
      </c>
      <c r="P111" s="77">
        <v>4.3264793647874882</v>
      </c>
      <c r="Q111" s="77">
        <v>4.3623338333423485</v>
      </c>
      <c r="R111" s="77">
        <v>4.723208022192888</v>
      </c>
      <c r="S111" s="77">
        <v>5.4575670802069238</v>
      </c>
      <c r="T111" s="77">
        <v>6.2086396823260621</v>
      </c>
      <c r="U111" s="77">
        <v>6.9763755644601471</v>
      </c>
      <c r="V111" s="77">
        <v>7.7607532142129685</v>
      </c>
      <c r="W111" s="80">
        <v>8.561761885004735</v>
      </c>
    </row>
    <row r="112" spans="3:23" x14ac:dyDescent="0.45">
      <c r="C112" s="1008"/>
      <c r="D112" s="8"/>
      <c r="E112" s="1011"/>
      <c r="F112" s="106">
        <v>300</v>
      </c>
      <c r="G112" s="77">
        <v>4.509665004836485</v>
      </c>
      <c r="H112" s="77">
        <v>4.5490631617827741</v>
      </c>
      <c r="I112" s="77">
        <v>4.5884966096445909</v>
      </c>
      <c r="J112" s="77">
        <v>4.6279652603372039</v>
      </c>
      <c r="K112" s="77">
        <v>4.667469033136479</v>
      </c>
      <c r="L112" s="77">
        <v>4.7070078539257718</v>
      </c>
      <c r="M112" s="77">
        <v>4.7465816545334327</v>
      </c>
      <c r="N112" s="77">
        <v>4.7861903721484591</v>
      </c>
      <c r="O112" s="77">
        <v>4.8258339488037301</v>
      </c>
      <c r="P112" s="77">
        <v>4.8655123309179089</v>
      </c>
      <c r="Q112" s="77">
        <v>4.9052254688883501</v>
      </c>
      <c r="R112" s="77">
        <v>5.304259729295886</v>
      </c>
      <c r="S112" s="77">
        <v>6.1126318581697312</v>
      </c>
      <c r="T112" s="77">
        <v>6.934659224053215</v>
      </c>
      <c r="U112" s="77">
        <v>7.7702985610495672</v>
      </c>
      <c r="V112" s="77">
        <v>8.619530661881905</v>
      </c>
      <c r="W112" s="80">
        <v>9.4823456962092152</v>
      </c>
    </row>
    <row r="113" spans="3:23" x14ac:dyDescent="0.45">
      <c r="C113" s="1008"/>
      <c r="D113" s="8"/>
      <c r="E113" s="1011"/>
      <c r="F113" s="106">
        <v>400</v>
      </c>
      <c r="G113" s="77">
        <v>5.0426474930233383</v>
      </c>
      <c r="H113" s="77">
        <v>5.0865853058741655</v>
      </c>
      <c r="I113" s="77">
        <v>5.130556845838715</v>
      </c>
      <c r="J113" s="77">
        <v>5.1745620461125856</v>
      </c>
      <c r="K113" s="77">
        <v>5.2186008451026833</v>
      </c>
      <c r="L113" s="77">
        <v>5.2626731859287901</v>
      </c>
      <c r="M113" s="77">
        <v>5.3067790159812533</v>
      </c>
      <c r="N113" s="77">
        <v>5.3509182865275804</v>
      </c>
      <c r="O113" s="77">
        <v>5.3950909523617359</v>
      </c>
      <c r="P113" s="77">
        <v>5.4392969714908181</v>
      </c>
      <c r="Q113" s="77">
        <v>5.4835363048545736</v>
      </c>
      <c r="R113" s="77">
        <v>5.9277549886392507</v>
      </c>
      <c r="S113" s="77">
        <v>6.8260869403846112</v>
      </c>
      <c r="T113" s="77">
        <v>7.7375418706473855</v>
      </c>
      <c r="U113" s="77">
        <v>8.6620820858607779</v>
      </c>
      <c r="V113" s="77">
        <v>9.5996903674535723</v>
      </c>
      <c r="W113" s="80">
        <v>10.550357731638496</v>
      </c>
    </row>
    <row r="114" spans="3:23" x14ac:dyDescent="0.45">
      <c r="C114" s="1008"/>
      <c r="D114" s="8"/>
      <c r="E114" s="1011"/>
      <c r="F114" s="106">
        <v>500</v>
      </c>
      <c r="G114" s="77">
        <v>5.5791413438522781</v>
      </c>
      <c r="H114" s="77">
        <v>5.6276921182156663</v>
      </c>
      <c r="I114" s="77">
        <v>5.6762758959706723</v>
      </c>
      <c r="J114" s="77">
        <v>5.7248926242682652</v>
      </c>
      <c r="K114" s="77">
        <v>5.7735422541591142</v>
      </c>
      <c r="L114" s="77">
        <v>5.8222247402404239</v>
      </c>
      <c r="M114" s="77">
        <v>5.8709400403404377</v>
      </c>
      <c r="N114" s="77">
        <v>5.9196881152360525</v>
      </c>
      <c r="O114" s="77">
        <v>5.9684689283995347</v>
      </c>
      <c r="P114" s="77">
        <v>6.0172824457708947</v>
      </c>
      <c r="Q114" s="77">
        <v>6.0661286355529631</v>
      </c>
      <c r="R114" s="77">
        <v>6.5563818158738538</v>
      </c>
      <c r="S114" s="77">
        <v>7.5466069810162715</v>
      </c>
      <c r="T114" s="77">
        <v>8.5497306732761587</v>
      </c>
      <c r="U114" s="77">
        <v>9.5657196671021421</v>
      </c>
      <c r="V114" s="77">
        <v>10.594558432676777</v>
      </c>
      <c r="W114" s="80">
        <v>11.636238739393182</v>
      </c>
    </row>
    <row r="115" spans="3:23" x14ac:dyDescent="0.45">
      <c r="C115" s="1008"/>
      <c r="D115" s="8"/>
      <c r="E115" s="1011"/>
      <c r="F115" s="106">
        <v>600</v>
      </c>
      <c r="G115" s="77">
        <v>6.1167553408843851</v>
      </c>
      <c r="H115" s="77">
        <v>6.169942226206798</v>
      </c>
      <c r="I115" s="77">
        <v>6.223161683701905</v>
      </c>
      <c r="J115" s="77">
        <v>6.2764136702034268</v>
      </c>
      <c r="K115" s="77">
        <v>6.3296981455872743</v>
      </c>
      <c r="L115" s="77">
        <v>6.3830150725081936</v>
      </c>
      <c r="M115" s="77">
        <v>6.436364416163288</v>
      </c>
      <c r="N115" s="77">
        <v>6.4897461440793052</v>
      </c>
      <c r="O115" s="77">
        <v>6.5431602259209036</v>
      </c>
      <c r="P115" s="77">
        <v>6.5966066333175739</v>
      </c>
      <c r="Q115" s="77">
        <v>6.6500853397070863</v>
      </c>
      <c r="R115" s="77">
        <v>7.1866440486543475</v>
      </c>
      <c r="S115" s="77">
        <v>8.269380686518339</v>
      </c>
      <c r="T115" s="77">
        <v>9.3648907741404699</v>
      </c>
      <c r="U115" s="77">
        <v>10.473144713465151</v>
      </c>
      <c r="V115" s="77">
        <v>11.594128407185739</v>
      </c>
      <c r="W115" s="80">
        <v>12.727834286159347</v>
      </c>
    </row>
    <row r="116" spans="3:23" x14ac:dyDescent="0.45">
      <c r="C116" s="1008"/>
      <c r="D116" s="8"/>
      <c r="E116" s="1011"/>
      <c r="F116" s="106">
        <v>700</v>
      </c>
      <c r="G116" s="77">
        <v>6.6548664404537696</v>
      </c>
      <c r="H116" s="77">
        <v>6.7126995824581304</v>
      </c>
      <c r="I116" s="77">
        <v>6.7705650063435012</v>
      </c>
      <c r="J116" s="77">
        <v>6.8284626759637757</v>
      </c>
      <c r="K116" s="77">
        <v>6.8863925576237364</v>
      </c>
      <c r="L116" s="77">
        <v>6.9443546198747832</v>
      </c>
      <c r="M116" s="77">
        <v>7.0023488333307649</v>
      </c>
      <c r="N116" s="77">
        <v>7.0603751705016347</v>
      </c>
      <c r="O116" s="77">
        <v>7.1184336056429469</v>
      </c>
      <c r="P116" s="77">
        <v>7.1765241146194612</v>
      </c>
      <c r="Q116" s="77">
        <v>7.234646674781354</v>
      </c>
      <c r="R116" s="77">
        <v>7.8176309724313127</v>
      </c>
      <c r="S116" s="77">
        <v>8.9931539651413797</v>
      </c>
      <c r="T116" s="77">
        <v>10.181370091038048</v>
      </c>
      <c r="U116" s="77">
        <v>11.382252737275808</v>
      </c>
      <c r="V116" s="77">
        <v>12.595789027314307</v>
      </c>
      <c r="W116" s="80">
        <v>13.821971971275685</v>
      </c>
    </row>
    <row r="117" spans="3:23" x14ac:dyDescent="0.45">
      <c r="C117" s="1008"/>
      <c r="D117" s="8"/>
      <c r="E117" s="1011"/>
      <c r="F117" s="106">
        <v>800</v>
      </c>
      <c r="G117" s="77">
        <v>7.1932408617791532</v>
      </c>
      <c r="H117" s="77">
        <v>7.2557255608527464</v>
      </c>
      <c r="I117" s="77">
        <v>7.3182423317259149</v>
      </c>
      <c r="J117" s="77">
        <v>7.3807911435242737</v>
      </c>
      <c r="K117" s="77">
        <v>7.4433719673989707</v>
      </c>
      <c r="L117" s="77">
        <v>7.5059847763632659</v>
      </c>
      <c r="M117" s="77">
        <v>7.5686295451446686</v>
      </c>
      <c r="N117" s="77">
        <v>7.6313062500509554</v>
      </c>
      <c r="O117" s="77">
        <v>7.6940148688485515</v>
      </c>
      <c r="P117" s="77">
        <v>7.7567553806519767</v>
      </c>
      <c r="Q117" s="77">
        <v>7.8195277658232003</v>
      </c>
      <c r="R117" s="77">
        <v>8.4490010620916163</v>
      </c>
      <c r="S117" s="77">
        <v>9.7174561801636106</v>
      </c>
      <c r="T117" s="77">
        <v>10.998548216286665</v>
      </c>
      <c r="U117" s="77">
        <v>12.292253046541976</v>
      </c>
      <c r="V117" s="77">
        <v>13.598558841780198</v>
      </c>
      <c r="W117" s="80">
        <v>14.917459120257785</v>
      </c>
    </row>
    <row r="118" spans="3:23" ht="14.65" thickBot="1" x14ac:dyDescent="0.5">
      <c r="C118" s="1008"/>
      <c r="D118" s="8"/>
      <c r="E118" s="1012"/>
      <c r="F118" s="909">
        <v>900</v>
      </c>
      <c r="G118" s="78">
        <v>7.7317713170029236</v>
      </c>
      <c r="H118" s="78">
        <v>7.7989106687306844</v>
      </c>
      <c r="I118" s="78">
        <v>7.8660819327027225</v>
      </c>
      <c r="J118" s="78">
        <v>7.9332850821184309</v>
      </c>
      <c r="K118" s="78">
        <v>8.0005200918861021</v>
      </c>
      <c r="L118" s="78">
        <v>8.0677869384888634</v>
      </c>
      <c r="M118" s="78">
        <v>8.1350855998630269</v>
      </c>
      <c r="N118" s="78">
        <v>8.2024160552875589</v>
      </c>
      <c r="O118" s="78">
        <v>8.2697782852834738</v>
      </c>
      <c r="P118" s="78">
        <v>8.3371722715221424</v>
      </c>
      <c r="Q118" s="78">
        <v>8.4045979967416216</v>
      </c>
      <c r="R118" s="78">
        <v>9.0805977223072141</v>
      </c>
      <c r="S118" s="78">
        <v>10.442071377425155</v>
      </c>
      <c r="T118" s="78">
        <v>11.816140259913134</v>
      </c>
      <c r="U118" s="78">
        <v>13.202782346193354</v>
      </c>
      <c r="V118" s="78">
        <v>14.601986712459173</v>
      </c>
      <c r="W118" s="81">
        <v>16.013747324379246</v>
      </c>
    </row>
    <row r="119" spans="3:23" ht="14.65" thickBot="1" x14ac:dyDescent="0.5">
      <c r="C119" s="1008"/>
      <c r="D119" s="8"/>
      <c r="G119" s="834"/>
      <c r="H119" s="834"/>
      <c r="I119" s="834"/>
      <c r="J119" s="834"/>
      <c r="K119" s="834"/>
      <c r="L119" s="834"/>
      <c r="M119" s="834"/>
      <c r="N119" s="834"/>
      <c r="O119" s="834"/>
      <c r="P119" s="834"/>
      <c r="Q119" s="834"/>
      <c r="R119" s="834"/>
      <c r="S119" s="834"/>
      <c r="T119" s="834"/>
      <c r="U119" s="834"/>
      <c r="V119" s="834"/>
      <c r="W119" s="834"/>
    </row>
    <row r="120" spans="3:23" ht="14.65" thickBot="1" x14ac:dyDescent="0.5">
      <c r="C120" s="1008"/>
      <c r="D120" s="911" t="s">
        <v>343</v>
      </c>
      <c r="E120" s="37"/>
      <c r="F120" s="37" t="s">
        <v>408</v>
      </c>
      <c r="G120" s="926">
        <v>0</v>
      </c>
      <c r="H120" s="927">
        <v>10</v>
      </c>
      <c r="I120" s="927">
        <v>20</v>
      </c>
      <c r="J120" s="927">
        <v>30</v>
      </c>
      <c r="K120" s="927">
        <v>40</v>
      </c>
      <c r="L120" s="927">
        <v>50</v>
      </c>
      <c r="M120" s="927">
        <v>60</v>
      </c>
      <c r="N120" s="927">
        <v>70</v>
      </c>
      <c r="O120" s="927">
        <v>80</v>
      </c>
      <c r="P120" s="927">
        <v>90</v>
      </c>
      <c r="Q120" s="927">
        <v>100</v>
      </c>
      <c r="R120" s="927">
        <v>200</v>
      </c>
      <c r="S120" s="927">
        <v>400</v>
      </c>
      <c r="T120" s="927">
        <v>600</v>
      </c>
      <c r="U120" s="927">
        <v>800</v>
      </c>
      <c r="V120" s="927">
        <v>1000</v>
      </c>
      <c r="W120" s="928">
        <v>1200</v>
      </c>
    </row>
    <row r="121" spans="3:23" x14ac:dyDescent="0.45">
      <c r="C121" s="1008"/>
      <c r="D121" s="920"/>
      <c r="E121" s="1010" t="s">
        <v>407</v>
      </c>
      <c r="F121" s="910">
        <v>0</v>
      </c>
      <c r="G121" s="923">
        <v>2.8881928491198612</v>
      </c>
      <c r="H121" s="923">
        <v>2.9613198178516233</v>
      </c>
      <c r="I121" s="923">
        <v>3.0347501482150703</v>
      </c>
      <c r="J121" s="923">
        <v>3.1084840679518324</v>
      </c>
      <c r="K121" s="923">
        <v>3.1825218379353295</v>
      </c>
      <c r="L121" s="923">
        <v>3.2568637475011477</v>
      </c>
      <c r="M121" s="923">
        <v>3.3315101105455351</v>
      </c>
      <c r="N121" s="923">
        <v>3.4064612622485373</v>
      </c>
      <c r="O121" s="923">
        <v>3.4817175563081331</v>
      </c>
      <c r="P121" s="923">
        <v>3.5572793625947625</v>
      </c>
      <c r="Q121" s="923">
        <v>3.6331470651535342</v>
      </c>
      <c r="R121" s="76">
        <v>4.4087401995065214</v>
      </c>
      <c r="S121" s="76">
        <v>6.0536249743458752</v>
      </c>
      <c r="T121" s="76">
        <v>7.8267107147490034</v>
      </c>
      <c r="U121" s="76">
        <v>9.7320368457396427</v>
      </c>
      <c r="V121" s="76">
        <v>11.773683874385902</v>
      </c>
      <c r="W121" s="79">
        <v>13.955746088383805</v>
      </c>
    </row>
    <row r="122" spans="3:23" x14ac:dyDescent="0.45">
      <c r="C122" s="1008"/>
      <c r="D122" s="920"/>
      <c r="E122" s="1011"/>
      <c r="F122" s="106">
        <v>10</v>
      </c>
      <c r="G122" s="77">
        <v>2.8884647139946318</v>
      </c>
      <c r="H122" s="77">
        <v>2.9615755521779867</v>
      </c>
      <c r="I122" s="77">
        <v>3.0349895565363201</v>
      </c>
      <c r="J122" s="77">
        <v>3.108706955493203</v>
      </c>
      <c r="K122" s="77">
        <v>3.1827280105085878</v>
      </c>
      <c r="L122" s="77">
        <v>3.2570530114248606</v>
      </c>
      <c r="M122" s="77">
        <v>3.3316822725780777</v>
      </c>
      <c r="N122" s="77">
        <v>3.4066161295315203</v>
      </c>
      <c r="O122" s="77">
        <v>3.4818549363184039</v>
      </c>
      <c r="P122" s="77">
        <v>3.5573990631034862</v>
      </c>
      <c r="Q122" s="77">
        <v>3.6332488941911727</v>
      </c>
      <c r="R122" s="77">
        <v>4.408652795401176</v>
      </c>
      <c r="S122" s="77">
        <v>6.0531020050626561</v>
      </c>
      <c r="T122" s="77">
        <v>7.825676268957654</v>
      </c>
      <c r="U122" s="77">
        <v>9.7304150912635023</v>
      </c>
      <c r="V122" s="77">
        <v>11.77139900432439</v>
      </c>
      <c r="W122" s="80">
        <v>13.952722306119428</v>
      </c>
    </row>
    <row r="123" spans="3:23" x14ac:dyDescent="0.45">
      <c r="C123" s="1008"/>
      <c r="D123" s="920"/>
      <c r="E123" s="1011"/>
      <c r="F123" s="106">
        <v>20</v>
      </c>
      <c r="G123" s="77">
        <v>2.8886106912033052</v>
      </c>
      <c r="H123" s="924">
        <v>2.9617027502372522</v>
      </c>
      <c r="I123" s="77">
        <v>3.0350977526583716</v>
      </c>
      <c r="J123" s="77">
        <v>3.1087959275702466</v>
      </c>
      <c r="K123" s="77">
        <v>3.1827975370177479</v>
      </c>
      <c r="L123" s="77">
        <v>3.2571028713487067</v>
      </c>
      <c r="M123" s="77">
        <v>3.331712245337842</v>
      </c>
      <c r="N123" s="77">
        <v>3.4066259949307014</v>
      </c>
      <c r="O123" s="77">
        <v>3.4818444744949066</v>
      </c>
      <c r="P123" s="77">
        <v>3.557368054488828</v>
      </c>
      <c r="Q123" s="77">
        <v>3.6331971194755561</v>
      </c>
      <c r="R123" s="77">
        <v>4.408381337441579</v>
      </c>
      <c r="S123" s="77">
        <v>6.0523258786267959</v>
      </c>
      <c r="T123" s="77">
        <v>7.8243086248865588</v>
      </c>
      <c r="U123" s="77">
        <v>9.7283691594474977</v>
      </c>
      <c r="V123" s="77">
        <v>11.768588039903548</v>
      </c>
      <c r="W123" s="80">
        <v>13.949059574507952</v>
      </c>
    </row>
    <row r="124" spans="3:23" x14ac:dyDescent="0.45">
      <c r="C124" s="1008"/>
      <c r="D124" s="920"/>
      <c r="E124" s="1011"/>
      <c r="F124" s="106">
        <v>30</v>
      </c>
      <c r="G124" s="77">
        <v>2.9371940134583765</v>
      </c>
      <c r="H124" s="77">
        <v>3.0106886407921207</v>
      </c>
      <c r="I124" s="77">
        <v>3.0844858370641979</v>
      </c>
      <c r="J124" s="77">
        <v>3.1585858473640505</v>
      </c>
      <c r="K124" s="77">
        <v>3.232988947328483</v>
      </c>
      <c r="L124" s="77">
        <v>3.3076954389131954</v>
      </c>
      <c r="M124" s="77">
        <v>3.3827056468477754</v>
      </c>
      <c r="N124" s="77">
        <v>3.4580199156486486</v>
      </c>
      <c r="O124" s="77">
        <v>3.5336386070901589</v>
      </c>
      <c r="P124" s="77">
        <v>3.6095620980538343</v>
      </c>
      <c r="Q124" s="77">
        <v>3.6857907786914748</v>
      </c>
      <c r="R124" s="77">
        <v>4.4649557403283087</v>
      </c>
      <c r="S124" s="77">
        <v>6.116782973793339</v>
      </c>
      <c r="T124" s="77">
        <v>7.8965470313835162</v>
      </c>
      <c r="U124" s="77">
        <v>9.8082884947926665</v>
      </c>
      <c r="V124" s="77">
        <v>11.856088119898132</v>
      </c>
      <c r="W124" s="80">
        <v>14.044040252656092</v>
      </c>
    </row>
    <row r="125" spans="3:23" x14ac:dyDescent="0.45">
      <c r="C125" s="1008"/>
      <c r="D125" s="920"/>
      <c r="E125" s="1011"/>
      <c r="F125" s="106">
        <v>40</v>
      </c>
      <c r="G125" s="77">
        <v>2.9855815148409395</v>
      </c>
      <c r="H125" s="77">
        <v>3.0594745811792317</v>
      </c>
      <c r="I125" s="77">
        <v>3.1336698074923195</v>
      </c>
      <c r="J125" s="77">
        <v>3.2081674535320679</v>
      </c>
      <c r="K125" s="77">
        <v>3.2829678074438369</v>
      </c>
      <c r="L125" s="77">
        <v>3.3580711819002307</v>
      </c>
      <c r="M125" s="77">
        <v>3.4334779108498417</v>
      </c>
      <c r="N125" s="77">
        <v>3.5091883467698146</v>
      </c>
      <c r="O125" s="77">
        <v>3.5852028583334326</v>
      </c>
      <c r="P125" s="77">
        <v>3.6615218284213737</v>
      </c>
      <c r="Q125" s="77">
        <v>3.7381456524190004</v>
      </c>
      <c r="R125" s="77">
        <v>4.5212443628548407</v>
      </c>
      <c r="S125" s="77">
        <v>6.1808476666672068</v>
      </c>
      <c r="T125" s="77">
        <v>7.9682694689031335</v>
      </c>
      <c r="U125" s="77">
        <v>9.8875513537248825</v>
      </c>
      <c r="V125" s="77">
        <v>11.942774288055501</v>
      </c>
      <c r="W125" s="80">
        <v>14.138032663995748</v>
      </c>
    </row>
    <row r="126" spans="3:23" x14ac:dyDescent="0.45">
      <c r="C126" s="1008"/>
      <c r="D126" s="920"/>
      <c r="E126" s="1011"/>
      <c r="F126" s="106">
        <v>50</v>
      </c>
      <c r="G126" s="77">
        <v>3.0337195466624358</v>
      </c>
      <c r="H126" s="77">
        <v>3.1080057927284743</v>
      </c>
      <c r="I126" s="77">
        <v>3.1825937429937436</v>
      </c>
      <c r="J126" s="77">
        <v>3.257483670687467</v>
      </c>
      <c r="K126" s="77">
        <v>3.3326758754889094</v>
      </c>
      <c r="L126" s="77">
        <v>3.4081706799823679</v>
      </c>
      <c r="M126" s="77">
        <v>3.4839684266674338</v>
      </c>
      <c r="N126" s="77">
        <v>3.5600694754256343</v>
      </c>
      <c r="O126" s="77">
        <v>3.636474201364186</v>
      </c>
      <c r="P126" s="77">
        <v>3.7131829929729618</v>
      </c>
      <c r="Q126" s="77">
        <v>3.7901962505428477</v>
      </c>
      <c r="R126" s="77">
        <v>4.5771686974180348</v>
      </c>
      <c r="S126" s="77">
        <v>6.2444119200927721</v>
      </c>
      <c r="T126" s="77">
        <v>8.0393337092562387</v>
      </c>
      <c r="U126" s="77">
        <v>9.9659766511281251</v>
      </c>
      <c r="V126" s="77">
        <v>12.028421934237766</v>
      </c>
      <c r="W126" s="80">
        <v>14.230764004203358</v>
      </c>
    </row>
    <row r="127" spans="3:23" x14ac:dyDescent="0.45">
      <c r="C127" s="1008"/>
      <c r="D127" s="920"/>
      <c r="E127" s="1011"/>
      <c r="F127" s="106">
        <v>60</v>
      </c>
      <c r="G127" s="77">
        <v>3.0815326342688234</v>
      </c>
      <c r="H127" s="77">
        <v>3.15620521199126</v>
      </c>
      <c r="I127" s="77">
        <v>3.2311789743462684</v>
      </c>
      <c r="J127" s="77">
        <v>3.3064542069767393</v>
      </c>
      <c r="K127" s="77">
        <v>3.3820312202171805</v>
      </c>
      <c r="L127" s="77">
        <v>3.4579103458345841</v>
      </c>
      <c r="M127" s="77">
        <v>3.5340919342722343</v>
      </c>
      <c r="N127" s="77">
        <v>3.6105763523081835</v>
      </c>
      <c r="O127" s="77">
        <v>3.6873639810573913</v>
      </c>
      <c r="P127" s="77">
        <v>3.7644552142600798</v>
      </c>
      <c r="Q127" s="77">
        <v>3.8418504568096008</v>
      </c>
      <c r="R127" s="77">
        <v>4.6326183361791244</v>
      </c>
      <c r="S127" s="77">
        <v>6.3073238250088632</v>
      </c>
      <c r="T127" s="77">
        <v>8.109539784013748</v>
      </c>
      <c r="U127" s="77">
        <v>10.043309797421246</v>
      </c>
      <c r="V127" s="77">
        <v>12.112715284013831</v>
      </c>
      <c r="W127" s="80">
        <v>14.321850749352443</v>
      </c>
    </row>
    <row r="128" spans="3:23" x14ac:dyDescent="0.45">
      <c r="C128" s="1008"/>
      <c r="D128" s="920"/>
      <c r="E128" s="1011"/>
      <c r="F128" s="106">
        <v>70</v>
      </c>
      <c r="G128" s="77">
        <v>3.1289111641630036</v>
      </c>
      <c r="H128" s="77">
        <v>3.2039609187455085</v>
      </c>
      <c r="I128" s="77">
        <v>3.2793112502620185</v>
      </c>
      <c r="J128" s="77">
        <v>3.3549624558121049</v>
      </c>
      <c r="K128" s="77">
        <v>3.4309148555917717</v>
      </c>
      <c r="L128" s="77">
        <v>3.5071687898895201</v>
      </c>
      <c r="M128" s="77">
        <v>3.5837246165393664</v>
      </c>
      <c r="N128" s="77">
        <v>3.660582708751714</v>
      </c>
      <c r="O128" s="77">
        <v>3.7377434532582567</v>
      </c>
      <c r="P128" s="77">
        <v>3.8152072487191306</v>
      </c>
      <c r="Q128" s="77">
        <v>3.8929745043500494</v>
      </c>
      <c r="R128" s="77">
        <v>4.6874329676487516</v>
      </c>
      <c r="S128" s="77">
        <v>6.3693628370586044</v>
      </c>
      <c r="T128" s="77">
        <v>8.1785973913817323</v>
      </c>
      <c r="U128" s="77">
        <v>10.119181205815014</v>
      </c>
      <c r="V128" s="77">
        <v>12.195195936376901</v>
      </c>
      <c r="W128" s="80">
        <v>14.410736154155586</v>
      </c>
    </row>
    <row r="129" spans="3:23" x14ac:dyDescent="0.45">
      <c r="C129" s="1008"/>
      <c r="D129" s="920"/>
      <c r="E129" s="1011"/>
      <c r="F129" s="106">
        <v>80</v>
      </c>
      <c r="G129" s="77">
        <v>3.1756896671201869</v>
      </c>
      <c r="H129" s="77">
        <v>3.2511039621666429</v>
      </c>
      <c r="I129" s="77">
        <v>3.3268181018917211</v>
      </c>
      <c r="J129" s="77">
        <v>3.4028323939887404</v>
      </c>
      <c r="K129" s="77">
        <v>3.479147167796691</v>
      </c>
      <c r="L129" s="77">
        <v>3.5557627715248374</v>
      </c>
      <c r="M129" s="77">
        <v>3.6326795698936749</v>
      </c>
      <c r="N129" s="77">
        <v>3.7098979421211493</v>
      </c>
      <c r="O129" s="77">
        <v>3.7874182801965888</v>
      </c>
      <c r="P129" s="77">
        <v>3.8652409873955085</v>
      </c>
      <c r="Q129" s="77">
        <v>3.9433664769969616</v>
      </c>
      <c r="R129" s="77">
        <v>4.7413706245621423</v>
      </c>
      <c r="S129" s="77">
        <v>6.4301961026224479</v>
      </c>
      <c r="T129" s="77">
        <v>8.2460684135503115</v>
      </c>
      <c r="U129" s="77">
        <v>10.193033114031591</v>
      </c>
      <c r="V129" s="77">
        <v>12.275172102856429</v>
      </c>
      <c r="W129" s="80">
        <v>14.496580021478108</v>
      </c>
    </row>
    <row r="130" spans="3:23" x14ac:dyDescent="0.45">
      <c r="C130" s="1008"/>
      <c r="D130" s="920"/>
      <c r="E130" s="1011"/>
      <c r="F130" s="106">
        <v>90</v>
      </c>
      <c r="G130" s="77">
        <v>3.2216060976659016</v>
      </c>
      <c r="H130" s="77">
        <v>3.2973667835720226</v>
      </c>
      <c r="I130" s="77">
        <v>3.3734263999857661</v>
      </c>
      <c r="J130" s="77">
        <v>3.4497852644143392</v>
      </c>
      <c r="K130" s="77">
        <v>3.526443714688035</v>
      </c>
      <c r="L130" s="77">
        <v>3.6034021063900763</v>
      </c>
      <c r="M130" s="77">
        <v>3.6806608106668848</v>
      </c>
      <c r="N130" s="77">
        <v>3.7582202123546522</v>
      </c>
      <c r="O130" s="77">
        <v>3.8360807083701722</v>
      </c>
      <c r="P130" s="77">
        <v>3.9142427063234297</v>
      </c>
      <c r="Q130" s="77">
        <v>3.9927066233171189</v>
      </c>
      <c r="R130" s="77">
        <v>4.7940481480050758</v>
      </c>
      <c r="S130" s="77">
        <v>6.4892965697751031</v>
      </c>
      <c r="T130" s="77">
        <v>8.3112591364870241</v>
      </c>
      <c r="U130" s="77">
        <v>10.263982374853297</v>
      </c>
      <c r="V130" s="77">
        <v>12.351548430712921</v>
      </c>
      <c r="W130" s="80">
        <v>14.578052020058633</v>
      </c>
    </row>
    <row r="131" spans="3:23" ht="15" customHeight="1" x14ac:dyDescent="0.45">
      <c r="C131" s="1008"/>
      <c r="D131" s="921"/>
      <c r="E131" s="1011"/>
      <c r="F131" s="106">
        <v>100</v>
      </c>
      <c r="G131" s="77">
        <v>3.2662193985283299</v>
      </c>
      <c r="H131" s="77">
        <v>3.342299046541608</v>
      </c>
      <c r="I131" s="77">
        <v>3.4186764327726995</v>
      </c>
      <c r="J131" s="77">
        <v>3.4953518838364026</v>
      </c>
      <c r="K131" s="77">
        <v>3.5723257454620754</v>
      </c>
      <c r="L131" s="77">
        <v>3.6495983801083307</v>
      </c>
      <c r="M131" s="77">
        <v>3.7271701649262239</v>
      </c>
      <c r="N131" s="77">
        <v>3.8050414900129583</v>
      </c>
      <c r="O131" s="77">
        <v>3.8832127569088661</v>
      </c>
      <c r="P131" s="77">
        <v>3.9616843772990431</v>
      </c>
      <c r="Q131" s="77">
        <v>4.0404567718878344</v>
      </c>
      <c r="R131" s="77">
        <v>4.8448206629229853</v>
      </c>
      <c r="S131" s="77">
        <v>6.5457772125387272</v>
      </c>
      <c r="T131" s="77">
        <v>8.3730020604914266</v>
      </c>
      <c r="U131" s="77">
        <v>10.330542690463416</v>
      </c>
      <c r="V131" s="77">
        <v>12.422481498525425</v>
      </c>
      <c r="W131" s="80">
        <v>14.652913278794053</v>
      </c>
    </row>
    <row r="132" spans="3:23" x14ac:dyDescent="0.45">
      <c r="C132" s="1008"/>
      <c r="D132" s="921"/>
      <c r="E132" s="1011"/>
      <c r="F132" s="106">
        <v>200</v>
      </c>
      <c r="G132" s="77">
        <v>3.8481686720189359</v>
      </c>
      <c r="H132" s="77">
        <v>3.9302945675602654</v>
      </c>
      <c r="I132" s="77">
        <v>4.0127359850386846</v>
      </c>
      <c r="J132" s="77">
        <v>4.0954933147093637</v>
      </c>
      <c r="K132" s="77">
        <v>4.1785669580501432</v>
      </c>
      <c r="L132" s="77">
        <v>4.2619573265105952</v>
      </c>
      <c r="M132" s="77">
        <v>4.3456648404247611</v>
      </c>
      <c r="N132" s="77">
        <v>4.4296899280631097</v>
      </c>
      <c r="O132" s="77">
        <v>4.5140330248033589</v>
      </c>
      <c r="P132" s="77">
        <v>4.5986945724031241</v>
      </c>
      <c r="Q132" s="77">
        <v>4.683675018360101</v>
      </c>
      <c r="R132" s="77">
        <v>5.5511204813018225</v>
      </c>
      <c r="S132" s="77">
        <v>7.3837306013481365</v>
      </c>
      <c r="T132" s="77">
        <v>9.3499543070645146</v>
      </c>
      <c r="U132" s="77">
        <v>11.45384776207889</v>
      </c>
      <c r="V132" s="77">
        <v>13.699495881713146</v>
      </c>
      <c r="W132" s="80">
        <v>16.090994347105575</v>
      </c>
    </row>
    <row r="133" spans="3:23" x14ac:dyDescent="0.45">
      <c r="C133" s="1008"/>
      <c r="D133" s="921"/>
      <c r="E133" s="1011"/>
      <c r="F133" s="106">
        <v>300</v>
      </c>
      <c r="G133" s="77">
        <v>4.3103227024425417</v>
      </c>
      <c r="H133" s="77">
        <v>4.3959734988118777</v>
      </c>
      <c r="I133" s="77">
        <v>4.4819318173655276</v>
      </c>
      <c r="J133" s="77">
        <v>4.5681980833222262</v>
      </c>
      <c r="K133" s="77">
        <v>4.6547727292613024</v>
      </c>
      <c r="L133" s="77">
        <v>4.7416561943695772</v>
      </c>
      <c r="M133" s="77">
        <v>4.8288489237788674</v>
      </c>
      <c r="N133" s="77">
        <v>4.9163513679816315</v>
      </c>
      <c r="O133" s="77">
        <v>5.0041639823142177</v>
      </c>
      <c r="P133" s="77">
        <v>5.0922872264987502</v>
      </c>
      <c r="Q133" s="77">
        <v>5.18072156423605</v>
      </c>
      <c r="R133" s="77">
        <v>6.0822793223821865</v>
      </c>
      <c r="S133" s="77">
        <v>7.9808069605831475</v>
      </c>
      <c r="T133" s="77">
        <v>10.009889877358709</v>
      </c>
      <c r="U133" s="77">
        <v>12.173591234530191</v>
      </c>
      <c r="V133" s="77">
        <v>14.475998252538799</v>
      </c>
      <c r="W133" s="80">
        <v>16.921207528761613</v>
      </c>
    </row>
    <row r="134" spans="3:23" x14ac:dyDescent="0.45">
      <c r="C134" s="1008"/>
      <c r="D134" s="921"/>
      <c r="E134" s="1011"/>
      <c r="F134" s="106">
        <v>400</v>
      </c>
      <c r="G134" s="77">
        <v>4.8015078773119226</v>
      </c>
      <c r="H134" s="77">
        <v>4.8912935519505396</v>
      </c>
      <c r="I134" s="77">
        <v>4.9813851849716642</v>
      </c>
      <c r="J134" s="77">
        <v>5.0717832228743625</v>
      </c>
      <c r="K134" s="77">
        <v>5.1624881173690031</v>
      </c>
      <c r="L134" s="77">
        <v>5.2535003248788339</v>
      </c>
      <c r="M134" s="77">
        <v>5.3448203060976676</v>
      </c>
      <c r="N134" s="77">
        <v>5.4364485255964752</v>
      </c>
      <c r="O134" s="77">
        <v>5.5283854514726869</v>
      </c>
      <c r="P134" s="77">
        <v>5.6206315550368657</v>
      </c>
      <c r="Q134" s="77">
        <v>5.7131873105322208</v>
      </c>
      <c r="R134" s="77">
        <v>6.6558817157029182</v>
      </c>
      <c r="S134" s="77">
        <v>8.6362736240702311</v>
      </c>
      <c r="T134" s="77">
        <v>10.746688552519922</v>
      </c>
      <c r="U134" s="77">
        <v>12.99119523520328</v>
      </c>
      <c r="V134" s="77">
        <v>15.373882881267184</v>
      </c>
      <c r="W134" s="80">
        <v>17.898848934642448</v>
      </c>
    </row>
    <row r="135" spans="3:23" x14ac:dyDescent="0.45">
      <c r="C135" s="1008"/>
      <c r="D135" s="921"/>
      <c r="E135" s="1011"/>
      <c r="F135" s="106">
        <v>500</v>
      </c>
      <c r="G135" s="77">
        <v>5.2962044148233911</v>
      </c>
      <c r="H135" s="77">
        <v>5.3901982733393101</v>
      </c>
      <c r="I135" s="77">
        <v>5.4844973665156349</v>
      </c>
      <c r="J135" s="77">
        <v>5.5791021548067965</v>
      </c>
      <c r="K135" s="77">
        <v>5.6740131025669314</v>
      </c>
      <c r="L135" s="77">
        <v>5.7692306776967062</v>
      </c>
      <c r="M135" s="77">
        <v>5.8647553513278314</v>
      </c>
      <c r="N135" s="77">
        <v>5.9605875975406697</v>
      </c>
      <c r="O135" s="77">
        <v>6.0567278931109501</v>
      </c>
      <c r="P135" s="77">
        <v>6.1531767172821477</v>
      </c>
      <c r="Q135" s="77">
        <v>6.2499345515605587</v>
      </c>
      <c r="R135" s="77">
        <v>7.2346156769148884</v>
      </c>
      <c r="S135" s="77">
        <v>9.2988052459740977</v>
      </c>
      <c r="T135" s="77">
        <v>11.492793383715737</v>
      </c>
      <c r="U135" s="77">
        <v>13.820653292306528</v>
      </c>
      <c r="V135" s="77">
        <v>16.286475869647106</v>
      </c>
      <c r="W135" s="80">
        <v>18.894359312848692</v>
      </c>
    </row>
    <row r="136" spans="3:23" x14ac:dyDescent="0.45">
      <c r="C136" s="1008"/>
      <c r="D136" s="921"/>
      <c r="E136" s="1011"/>
      <c r="F136" s="106">
        <v>600</v>
      </c>
      <c r="G136" s="77">
        <v>5.7920210985380267</v>
      </c>
      <c r="H136" s="77">
        <v>5.8902462903777133</v>
      </c>
      <c r="I136" s="77">
        <v>5.9887762856588793</v>
      </c>
      <c r="J136" s="77">
        <v>6.0876115545187126</v>
      </c>
      <c r="K136" s="77">
        <v>6.1867525701365871</v>
      </c>
      <c r="L136" s="77">
        <v>6.2861998084707134</v>
      </c>
      <c r="M136" s="77">
        <v>6.385953748021663</v>
      </c>
      <c r="N136" s="77">
        <v>6.4860148696196447</v>
      </c>
      <c r="O136" s="77">
        <v>6.5863836562327833</v>
      </c>
      <c r="P136" s="77">
        <v>6.6870605927940323</v>
      </c>
      <c r="Q136" s="77">
        <v>6.7880461660446292</v>
      </c>
      <c r="R136" s="77">
        <v>7.8149850436727473</v>
      </c>
      <c r="S136" s="77">
        <v>9.9635905327483698</v>
      </c>
      <c r="T136" s="77">
        <v>12.241869513147092</v>
      </c>
      <c r="U136" s="77">
        <v>14.653898814531416</v>
      </c>
      <c r="V136" s="77">
        <v>17.203770767312786</v>
      </c>
      <c r="W136" s="80">
        <v>19.895584230066408</v>
      </c>
    </row>
    <row r="137" spans="3:23" x14ac:dyDescent="0.45">
      <c r="C137" s="1008"/>
      <c r="D137" s="921"/>
      <c r="E137" s="1011"/>
      <c r="F137" s="106">
        <v>700</v>
      </c>
      <c r="G137" s="77">
        <v>6.2883348847899416</v>
      </c>
      <c r="H137" s="77">
        <v>6.3908015556763171</v>
      </c>
      <c r="I137" s="77">
        <v>6.4935727397124889</v>
      </c>
      <c r="J137" s="77">
        <v>6.5966489140558151</v>
      </c>
      <c r="K137" s="77">
        <v>6.7000305583145447</v>
      </c>
      <c r="L137" s="77">
        <v>6.8037181543435414</v>
      </c>
      <c r="M137" s="77">
        <v>6.9077121860601194</v>
      </c>
      <c r="N137" s="77">
        <v>7.0120131392776965</v>
      </c>
      <c r="O137" s="77">
        <v>7.1166215015552901</v>
      </c>
      <c r="P137" s="77">
        <v>7.221537762061125</v>
      </c>
      <c r="Q137" s="77">
        <v>7.3267624114488434</v>
      </c>
      <c r="R137" s="77">
        <v>8.3960791014270804</v>
      </c>
      <c r="S137" s="77">
        <v>10.629375392643613</v>
      </c>
      <c r="T137" s="77">
        <v>12.99226485861171</v>
      </c>
      <c r="U137" s="77">
        <v>15.488827314203952</v>
      </c>
      <c r="V137" s="77">
        <v>18.12315631059807</v>
      </c>
      <c r="W137" s="80">
        <v>20.899351285634303</v>
      </c>
    </row>
    <row r="138" spans="3:23" x14ac:dyDescent="0.45">
      <c r="C138" s="1008"/>
      <c r="D138" s="921"/>
      <c r="E138" s="1011"/>
      <c r="F138" s="106">
        <v>800</v>
      </c>
      <c r="G138" s="77">
        <v>6.7849119927978538</v>
      </c>
      <c r="H138" s="77">
        <v>6.8916254431182029</v>
      </c>
      <c r="I138" s="77">
        <v>6.9986431965069142</v>
      </c>
      <c r="J138" s="77">
        <v>7.1059657353930676</v>
      </c>
      <c r="K138" s="77">
        <v>7.2135935442312764</v>
      </c>
      <c r="L138" s="77">
        <v>7.3215271093382626</v>
      </c>
      <c r="M138" s="77">
        <v>7.4297669187450035</v>
      </c>
      <c r="N138" s="77">
        <v>7.5383134620627379</v>
      </c>
      <c r="O138" s="77">
        <v>7.647167230361358</v>
      </c>
      <c r="P138" s="77">
        <v>7.7563287160588459</v>
      </c>
      <c r="Q138" s="77">
        <v>7.865798412820638</v>
      </c>
      <c r="R138" s="77">
        <v>8.9775563250647501</v>
      </c>
      <c r="S138" s="77">
        <v>11.29568918893805</v>
      </c>
      <c r="T138" s="77">
        <v>13.743359012427367</v>
      </c>
      <c r="U138" s="77">
        <v>16.324648099332002</v>
      </c>
      <c r="V138" s="77">
        <v>19.043651048220681</v>
      </c>
      <c r="W138" s="80">
        <v>21.904467805067956</v>
      </c>
    </row>
    <row r="139" spans="3:23" ht="14.65" thickBot="1" x14ac:dyDescent="0.5">
      <c r="C139" s="1009"/>
      <c r="D139" s="8"/>
      <c r="E139" s="1012"/>
      <c r="F139" s="909">
        <v>900</v>
      </c>
      <c r="G139" s="78">
        <v>7.2816451347041529</v>
      </c>
      <c r="H139" s="78">
        <v>7.3926084600434105</v>
      </c>
      <c r="I139" s="78">
        <v>7.5038759288957344</v>
      </c>
      <c r="J139" s="78">
        <v>7.6154480277639793</v>
      </c>
      <c r="K139" s="78">
        <v>7.7273252448599035</v>
      </c>
      <c r="L139" s="78">
        <v>7.8395080699700976</v>
      </c>
      <c r="M139" s="78">
        <v>7.9519969943343405</v>
      </c>
      <c r="N139" s="78">
        <v>8.0647925105350637</v>
      </c>
      <c r="O139" s="78">
        <v>8.1778951123967438</v>
      </c>
      <c r="P139" s="78">
        <v>8.2913052948942187</v>
      </c>
      <c r="Q139" s="78">
        <v>8.4050235540690075</v>
      </c>
      <c r="R139" s="78">
        <v>9.5592601192577131</v>
      </c>
      <c r="S139" s="78">
        <v>11.962315967471797</v>
      </c>
      <c r="T139" s="78">
        <v>14.494867084620878</v>
      </c>
      <c r="U139" s="78">
        <v>17.160997874845254</v>
      </c>
      <c r="V139" s="78">
        <v>19.964803842056373</v>
      </c>
      <c r="W139" s="81">
        <v>22.910385379640974</v>
      </c>
    </row>
    <row r="140" spans="3:23" ht="14.65" thickBot="1" x14ac:dyDescent="0.5">
      <c r="D140" s="8"/>
      <c r="G140" s="834"/>
      <c r="H140" s="834"/>
      <c r="I140" s="834"/>
      <c r="J140" s="834"/>
      <c r="K140" s="834"/>
      <c r="L140" s="834"/>
      <c r="M140" s="834"/>
      <c r="N140" s="834"/>
      <c r="O140" s="834"/>
      <c r="P140" s="834"/>
      <c r="Q140" s="834"/>
      <c r="R140" s="834"/>
      <c r="S140" s="834"/>
      <c r="T140" s="834"/>
      <c r="U140" s="834"/>
      <c r="V140" s="834"/>
      <c r="W140" s="834"/>
    </row>
    <row r="141" spans="3:23" ht="15" customHeight="1" thickBot="1" x14ac:dyDescent="0.5">
      <c r="C141" s="1007" t="s">
        <v>129</v>
      </c>
      <c r="D141" s="911" t="s">
        <v>344</v>
      </c>
      <c r="E141" s="37"/>
      <c r="F141" s="37" t="s">
        <v>408</v>
      </c>
      <c r="G141" s="926">
        <v>0</v>
      </c>
      <c r="H141" s="927">
        <v>10</v>
      </c>
      <c r="I141" s="927">
        <v>20</v>
      </c>
      <c r="J141" s="927">
        <v>30</v>
      </c>
      <c r="K141" s="927">
        <v>40</v>
      </c>
      <c r="L141" s="927">
        <v>50</v>
      </c>
      <c r="M141" s="927">
        <v>60</v>
      </c>
      <c r="N141" s="927">
        <v>70</v>
      </c>
      <c r="O141" s="927">
        <v>80</v>
      </c>
      <c r="P141" s="927">
        <v>90</v>
      </c>
      <c r="Q141" s="927">
        <v>100</v>
      </c>
      <c r="R141" s="927">
        <v>200</v>
      </c>
      <c r="S141" s="927">
        <v>400</v>
      </c>
      <c r="T141" s="927">
        <v>600</v>
      </c>
      <c r="U141" s="927">
        <v>800</v>
      </c>
      <c r="V141" s="927">
        <v>1000</v>
      </c>
      <c r="W141" s="928">
        <v>1200</v>
      </c>
    </row>
    <row r="142" spans="3:23" ht="15" customHeight="1" x14ac:dyDescent="0.45">
      <c r="C142" s="1008"/>
      <c r="D142" s="920"/>
      <c r="E142" s="1010" t="s">
        <v>407</v>
      </c>
      <c r="F142" s="910">
        <v>0</v>
      </c>
      <c r="G142" s="923">
        <v>3.1807973648808323</v>
      </c>
      <c r="H142" s="923">
        <v>3.2619777607908009</v>
      </c>
      <c r="I142" s="923">
        <v>3.3434782706169379</v>
      </c>
      <c r="J142" s="923">
        <v>3.4252994076627052</v>
      </c>
      <c r="K142" s="923">
        <v>3.5074416852315711</v>
      </c>
      <c r="L142" s="923">
        <v>3.5899056166269974</v>
      </c>
      <c r="M142" s="923">
        <v>3.6726917151524514</v>
      </c>
      <c r="N142" s="923">
        <v>3.755800494111396</v>
      </c>
      <c r="O142" s="923">
        <v>3.8392324668072968</v>
      </c>
      <c r="P142" s="923">
        <v>3.9229881465436183</v>
      </c>
      <c r="Q142" s="923">
        <v>4.0070680466238251</v>
      </c>
      <c r="R142" s="76">
        <v>4.8658120931018471</v>
      </c>
      <c r="S142" s="76">
        <v>6.682773494122026</v>
      </c>
      <c r="T142" s="76">
        <v>8.6357879956594541</v>
      </c>
      <c r="U142" s="76">
        <v>10.728962025432228</v>
      </c>
      <c r="V142" s="76">
        <v>12.966402011158433</v>
      </c>
      <c r="W142" s="79">
        <v>15.352214380556159</v>
      </c>
    </row>
    <row r="143" spans="3:23" ht="15" customHeight="1" x14ac:dyDescent="0.45">
      <c r="C143" s="1008"/>
      <c r="D143" s="920"/>
      <c r="E143" s="1011"/>
      <c r="F143" s="106">
        <v>10</v>
      </c>
      <c r="G143" s="77">
        <v>3.1874449044923518</v>
      </c>
      <c r="H143" s="77">
        <v>3.2686823894556785</v>
      </c>
      <c r="I143" s="77">
        <v>3.3502401462727867</v>
      </c>
      <c r="J143" s="77">
        <v>3.4321186882471402</v>
      </c>
      <c r="K143" s="77">
        <v>3.514318528682205</v>
      </c>
      <c r="L143" s="77">
        <v>3.5968401808814452</v>
      </c>
      <c r="M143" s="77">
        <v>3.6796841581483255</v>
      </c>
      <c r="N143" s="77">
        <v>3.7628509737863109</v>
      </c>
      <c r="O143" s="77">
        <v>3.846341141098867</v>
      </c>
      <c r="P143" s="77">
        <v>3.9301551733894571</v>
      </c>
      <c r="Q143" s="77">
        <v>4.0142935839615461</v>
      </c>
      <c r="R143" s="77">
        <v>4.8736314219271506</v>
      </c>
      <c r="S143" s="77">
        <v>6.6918277872066367</v>
      </c>
      <c r="T143" s="77">
        <v>8.6461404280489003</v>
      </c>
      <c r="U143" s="77">
        <v>10.740675772172029</v>
      </c>
      <c r="V143" s="77">
        <v>12.979540247294118</v>
      </c>
      <c r="W143" s="80">
        <v>15.366840281133246</v>
      </c>
    </row>
    <row r="144" spans="3:23" ht="15" customHeight="1" x14ac:dyDescent="0.45">
      <c r="C144" s="1008"/>
      <c r="D144" s="920"/>
      <c r="E144" s="1011"/>
      <c r="F144" s="106">
        <v>20</v>
      </c>
      <c r="G144" s="77">
        <v>3.1940924441038709</v>
      </c>
      <c r="H144" s="924">
        <v>3.2753870181205555</v>
      </c>
      <c r="I144" s="77">
        <v>3.3570020219286358</v>
      </c>
      <c r="J144" s="77">
        <v>3.4389379688315751</v>
      </c>
      <c r="K144" s="77">
        <v>3.5211953721328388</v>
      </c>
      <c r="L144" s="77">
        <v>3.603774745135893</v>
      </c>
      <c r="M144" s="77">
        <v>3.6866766011442</v>
      </c>
      <c r="N144" s="77">
        <v>3.7699014534612263</v>
      </c>
      <c r="O144" s="77">
        <v>3.8534498153904373</v>
      </c>
      <c r="P144" s="77">
        <v>3.9373222002352954</v>
      </c>
      <c r="Q144" s="77">
        <v>4.0215191212992671</v>
      </c>
      <c r="R144" s="77">
        <v>4.8814507507524532</v>
      </c>
      <c r="S144" s="77">
        <v>6.7008820802912492</v>
      </c>
      <c r="T144" s="77">
        <v>8.6564928604383429</v>
      </c>
      <c r="U144" s="77">
        <v>10.752389518911832</v>
      </c>
      <c r="V144" s="77">
        <v>12.992678483429799</v>
      </c>
      <c r="W144" s="80">
        <v>15.381466181710339</v>
      </c>
    </row>
    <row r="145" spans="3:23" ht="15" customHeight="1" x14ac:dyDescent="0.45">
      <c r="C145" s="1008"/>
      <c r="D145" s="920"/>
      <c r="E145" s="1011"/>
      <c r="F145" s="106">
        <v>30</v>
      </c>
      <c r="G145" s="77">
        <v>3.2007399837153905</v>
      </c>
      <c r="H145" s="77">
        <v>3.2820916467854331</v>
      </c>
      <c r="I145" s="77">
        <v>3.3637638975844846</v>
      </c>
      <c r="J145" s="77">
        <v>3.44575724941601</v>
      </c>
      <c r="K145" s="77">
        <v>3.5280722155834732</v>
      </c>
      <c r="L145" s="77">
        <v>3.61070930939034</v>
      </c>
      <c r="M145" s="77">
        <v>3.6936690441400741</v>
      </c>
      <c r="N145" s="77">
        <v>3.7769519331361421</v>
      </c>
      <c r="O145" s="77">
        <v>3.8605584896820067</v>
      </c>
      <c r="P145" s="77">
        <v>3.9444892270811338</v>
      </c>
      <c r="Q145" s="77">
        <v>4.0287446586369873</v>
      </c>
      <c r="R145" s="77">
        <v>4.8892700795777575</v>
      </c>
      <c r="S145" s="77">
        <v>6.7099363733758608</v>
      </c>
      <c r="T145" s="77">
        <v>8.666845292827789</v>
      </c>
      <c r="U145" s="77">
        <v>10.764103265651634</v>
      </c>
      <c r="V145" s="77">
        <v>13.005816719565486</v>
      </c>
      <c r="W145" s="80">
        <v>15.396092082287431</v>
      </c>
    </row>
    <row r="146" spans="3:23" ht="15" customHeight="1" x14ac:dyDescent="0.45">
      <c r="C146" s="1008"/>
      <c r="D146" s="920"/>
      <c r="E146" s="1011"/>
      <c r="F146" s="106">
        <v>40</v>
      </c>
      <c r="G146" s="77">
        <v>3.2073875233269096</v>
      </c>
      <c r="H146" s="77">
        <v>3.2887962754503102</v>
      </c>
      <c r="I146" s="77">
        <v>3.3705257732403338</v>
      </c>
      <c r="J146" s="77">
        <v>3.4525765300004441</v>
      </c>
      <c r="K146" s="77">
        <v>3.5349490590341075</v>
      </c>
      <c r="L146" s="77">
        <v>3.6176438736447869</v>
      </c>
      <c r="M146" s="77">
        <v>3.7006614871359487</v>
      </c>
      <c r="N146" s="77">
        <v>3.784002412811057</v>
      </c>
      <c r="O146" s="77">
        <v>3.8676671639735769</v>
      </c>
      <c r="P146" s="77">
        <v>3.9516562539269722</v>
      </c>
      <c r="Q146" s="77">
        <v>4.0359701959747083</v>
      </c>
      <c r="R146" s="77">
        <v>4.8970894084030601</v>
      </c>
      <c r="S146" s="77">
        <v>6.7189906664604715</v>
      </c>
      <c r="T146" s="77">
        <v>8.6771977252172334</v>
      </c>
      <c r="U146" s="77">
        <v>10.775817012391435</v>
      </c>
      <c r="V146" s="77">
        <v>13.018954955701169</v>
      </c>
      <c r="W146" s="80">
        <v>15.410717982864522</v>
      </c>
    </row>
    <row r="147" spans="3:23" ht="15" customHeight="1" x14ac:dyDescent="0.45">
      <c r="C147" s="1008"/>
      <c r="D147" s="920"/>
      <c r="E147" s="1011"/>
      <c r="F147" s="106">
        <v>50</v>
      </c>
      <c r="G147" s="77">
        <v>3.2140350629384287</v>
      </c>
      <c r="H147" s="77">
        <v>3.2955009041151873</v>
      </c>
      <c r="I147" s="77">
        <v>3.3772876488961825</v>
      </c>
      <c r="J147" s="77">
        <v>3.4593958105848786</v>
      </c>
      <c r="K147" s="77">
        <v>3.5418259024847409</v>
      </c>
      <c r="L147" s="77">
        <v>3.6245784378992347</v>
      </c>
      <c r="M147" s="77">
        <v>3.7076539301318236</v>
      </c>
      <c r="N147" s="77">
        <v>3.7910528924859719</v>
      </c>
      <c r="O147" s="77">
        <v>3.8747758382651467</v>
      </c>
      <c r="P147" s="77">
        <v>3.9588232807728105</v>
      </c>
      <c r="Q147" s="77">
        <v>4.0431957333124284</v>
      </c>
      <c r="R147" s="77">
        <v>4.9049087372283635</v>
      </c>
      <c r="S147" s="77">
        <v>6.7280449595450831</v>
      </c>
      <c r="T147" s="77">
        <v>8.6875501576066778</v>
      </c>
      <c r="U147" s="77">
        <v>10.78753075913124</v>
      </c>
      <c r="V147" s="77">
        <v>13.032093191836855</v>
      </c>
      <c r="W147" s="80">
        <v>15.425343883441611</v>
      </c>
    </row>
    <row r="148" spans="3:23" ht="15" customHeight="1" x14ac:dyDescent="0.45">
      <c r="C148" s="1008"/>
      <c r="D148" s="920"/>
      <c r="E148" s="1011"/>
      <c r="F148" s="106">
        <v>60</v>
      </c>
      <c r="G148" s="77">
        <v>3.2206826025499482</v>
      </c>
      <c r="H148" s="77">
        <v>3.3022055327800643</v>
      </c>
      <c r="I148" s="77">
        <v>3.3840495245520317</v>
      </c>
      <c r="J148" s="77">
        <v>3.4662150911693135</v>
      </c>
      <c r="K148" s="77">
        <v>3.5487027459353753</v>
      </c>
      <c r="L148" s="77">
        <v>3.6315130021536817</v>
      </c>
      <c r="M148" s="77">
        <v>3.7146463731276977</v>
      </c>
      <c r="N148" s="77">
        <v>3.7981033721608872</v>
      </c>
      <c r="O148" s="77">
        <v>3.8818845125567165</v>
      </c>
      <c r="P148" s="77">
        <v>3.9659903076186489</v>
      </c>
      <c r="Q148" s="77">
        <v>4.0504212706501495</v>
      </c>
      <c r="R148" s="77">
        <v>4.912728066053667</v>
      </c>
      <c r="S148" s="77">
        <v>6.7370992526296956</v>
      </c>
      <c r="T148" s="77">
        <v>8.697902589996124</v>
      </c>
      <c r="U148" s="77">
        <v>10.799244505871041</v>
      </c>
      <c r="V148" s="77">
        <v>13.045231427972537</v>
      </c>
      <c r="W148" s="80">
        <v>15.439969784018702</v>
      </c>
    </row>
    <row r="149" spans="3:23" ht="15" customHeight="1" x14ac:dyDescent="0.45">
      <c r="C149" s="1008"/>
      <c r="D149" s="920"/>
      <c r="E149" s="1011"/>
      <c r="F149" s="106">
        <v>70</v>
      </c>
      <c r="G149" s="77">
        <v>3.2273301421614677</v>
      </c>
      <c r="H149" s="77">
        <v>3.3089101614449419</v>
      </c>
      <c r="I149" s="77">
        <v>3.3908114002078813</v>
      </c>
      <c r="J149" s="77">
        <v>3.4730343717537484</v>
      </c>
      <c r="K149" s="77">
        <v>3.5555795893860092</v>
      </c>
      <c r="L149" s="77">
        <v>3.6384475664081295</v>
      </c>
      <c r="M149" s="77">
        <v>3.7216388161235718</v>
      </c>
      <c r="N149" s="77">
        <v>3.8051538518358026</v>
      </c>
      <c r="O149" s="77">
        <v>3.8889931868482868</v>
      </c>
      <c r="P149" s="77">
        <v>3.9731573344644877</v>
      </c>
      <c r="Q149" s="77">
        <v>4.0576468079878705</v>
      </c>
      <c r="R149" s="77">
        <v>4.9205473948789704</v>
      </c>
      <c r="S149" s="77">
        <v>6.7461535457143071</v>
      </c>
      <c r="T149" s="77">
        <v>8.7082550223855684</v>
      </c>
      <c r="U149" s="77">
        <v>10.810958252610842</v>
      </c>
      <c r="V149" s="77">
        <v>13.058369664108223</v>
      </c>
      <c r="W149" s="80">
        <v>15.454595684595795</v>
      </c>
    </row>
    <row r="150" spans="3:23" ht="15" customHeight="1" x14ac:dyDescent="0.45">
      <c r="C150" s="1008"/>
      <c r="D150" s="920"/>
      <c r="E150" s="1011"/>
      <c r="F150" s="106">
        <v>80</v>
      </c>
      <c r="G150" s="77">
        <v>3.2339776817729868</v>
      </c>
      <c r="H150" s="77">
        <v>3.3156147901098194</v>
      </c>
      <c r="I150" s="77">
        <v>3.39757327586373</v>
      </c>
      <c r="J150" s="77">
        <v>3.4798536523381829</v>
      </c>
      <c r="K150" s="77">
        <v>3.5624564328366435</v>
      </c>
      <c r="L150" s="77">
        <v>3.6453821306625769</v>
      </c>
      <c r="M150" s="77">
        <v>3.7286312591194464</v>
      </c>
      <c r="N150" s="77">
        <v>3.8122043315107179</v>
      </c>
      <c r="O150" s="77">
        <v>3.8961018611398566</v>
      </c>
      <c r="P150" s="77">
        <v>3.9803243613103256</v>
      </c>
      <c r="Q150" s="77">
        <v>4.0648723453255906</v>
      </c>
      <c r="R150" s="77">
        <v>4.9283667237042739</v>
      </c>
      <c r="S150" s="77">
        <v>6.7552078387989196</v>
      </c>
      <c r="T150" s="77">
        <v>8.7186074547750128</v>
      </c>
      <c r="U150" s="77">
        <v>10.822671999350645</v>
      </c>
      <c r="V150" s="77">
        <v>13.071507900243908</v>
      </c>
      <c r="W150" s="80">
        <v>15.469221585172884</v>
      </c>
    </row>
    <row r="151" spans="3:23" ht="15" customHeight="1" x14ac:dyDescent="0.45">
      <c r="C151" s="1008"/>
      <c r="D151" s="920"/>
      <c r="E151" s="1011"/>
      <c r="F151" s="106">
        <v>90</v>
      </c>
      <c r="G151" s="77">
        <v>3.2406252213845055</v>
      </c>
      <c r="H151" s="77">
        <v>3.3223194187746965</v>
      </c>
      <c r="I151" s="77">
        <v>3.4043351515195788</v>
      </c>
      <c r="J151" s="77">
        <v>3.4866729329226178</v>
      </c>
      <c r="K151" s="77">
        <v>3.5693332762872778</v>
      </c>
      <c r="L151" s="77">
        <v>3.6523166949170243</v>
      </c>
      <c r="M151" s="77">
        <v>3.7356237021153205</v>
      </c>
      <c r="N151" s="77">
        <v>3.8192548111856333</v>
      </c>
      <c r="O151" s="77">
        <v>3.9032105354314264</v>
      </c>
      <c r="P151" s="77">
        <v>3.9874913881561636</v>
      </c>
      <c r="Q151" s="77">
        <v>4.0720978826633116</v>
      </c>
      <c r="R151" s="77">
        <v>4.9361860525295764</v>
      </c>
      <c r="S151" s="77">
        <v>6.7642621318835303</v>
      </c>
      <c r="T151" s="77">
        <v>8.7289598871644571</v>
      </c>
      <c r="U151" s="77">
        <v>10.834385746090447</v>
      </c>
      <c r="V151" s="77">
        <v>13.084646136379591</v>
      </c>
      <c r="W151" s="80">
        <v>15.483847485749974</v>
      </c>
    </row>
    <row r="152" spans="3:23" ht="15" customHeight="1" x14ac:dyDescent="0.45">
      <c r="C152" s="1008"/>
      <c r="D152" s="8"/>
      <c r="E152" s="1011"/>
      <c r="F152" s="106">
        <v>100</v>
      </c>
      <c r="G152" s="77">
        <v>3.247272760996025</v>
      </c>
      <c r="H152" s="77">
        <v>3.3290240474395736</v>
      </c>
      <c r="I152" s="77">
        <v>3.411097027175428</v>
      </c>
      <c r="J152" s="77">
        <v>3.4934922135070527</v>
      </c>
      <c r="K152" s="77">
        <v>3.5762101197379117</v>
      </c>
      <c r="L152" s="77">
        <v>3.6592512591714712</v>
      </c>
      <c r="M152" s="77">
        <v>3.742616145111195</v>
      </c>
      <c r="N152" s="77">
        <v>3.8263052908605486</v>
      </c>
      <c r="O152" s="77">
        <v>3.9103192097229962</v>
      </c>
      <c r="P152" s="77">
        <v>3.9946584150020024</v>
      </c>
      <c r="Q152" s="77">
        <v>4.0793234200010318</v>
      </c>
      <c r="R152" s="77">
        <v>4.9440053813548799</v>
      </c>
      <c r="S152" s="77">
        <v>6.7733164249681419</v>
      </c>
      <c r="T152" s="77">
        <v>8.7393123195539015</v>
      </c>
      <c r="U152" s="77">
        <v>10.84609949283025</v>
      </c>
      <c r="V152" s="77">
        <v>13.097784372515271</v>
      </c>
      <c r="W152" s="80">
        <v>15.498473386327065</v>
      </c>
    </row>
    <row r="153" spans="3:23" x14ac:dyDescent="0.45">
      <c r="C153" s="1008"/>
      <c r="D153" s="8"/>
      <c r="E153" s="1011"/>
      <c r="F153" s="106">
        <v>200</v>
      </c>
      <c r="G153" s="77">
        <v>3.3137481571112177</v>
      </c>
      <c r="H153" s="77">
        <v>3.3960703340883458</v>
      </c>
      <c r="I153" s="77">
        <v>3.478715783733918</v>
      </c>
      <c r="J153" s="77">
        <v>3.5616850193513989</v>
      </c>
      <c r="K153" s="77">
        <v>3.6449785542442528</v>
      </c>
      <c r="L153" s="77">
        <v>3.7285969017159442</v>
      </c>
      <c r="M153" s="77">
        <v>3.812540575069939</v>
      </c>
      <c r="N153" s="77">
        <v>3.8968100876097007</v>
      </c>
      <c r="O153" s="77">
        <v>3.9814059526386951</v>
      </c>
      <c r="P153" s="77">
        <v>4.0663286834603865</v>
      </c>
      <c r="Q153" s="77">
        <v>4.1515787933782384</v>
      </c>
      <c r="R153" s="77">
        <v>5.0221986696079126</v>
      </c>
      <c r="S153" s="77">
        <v>6.8638593558142595</v>
      </c>
      <c r="T153" s="77">
        <v>8.842836643448349</v>
      </c>
      <c r="U153" s="77">
        <v>10.963236960228272</v>
      </c>
      <c r="V153" s="77">
        <v>13.229166733872116</v>
      </c>
      <c r="W153" s="80">
        <v>15.644732392097971</v>
      </c>
    </row>
    <row r="154" spans="3:23" x14ac:dyDescent="0.45">
      <c r="C154" s="1008"/>
      <c r="D154" s="8"/>
      <c r="E154" s="1011"/>
      <c r="F154" s="106">
        <v>300</v>
      </c>
      <c r="G154" s="77">
        <v>3.3802235532264095</v>
      </c>
      <c r="H154" s="77">
        <v>3.4631166207371185</v>
      </c>
      <c r="I154" s="77">
        <v>3.5463345402924085</v>
      </c>
      <c r="J154" s="77">
        <v>3.6298778251957455</v>
      </c>
      <c r="K154" s="77">
        <v>3.7137469887505929</v>
      </c>
      <c r="L154" s="77">
        <v>3.7979425442604171</v>
      </c>
      <c r="M154" s="77">
        <v>3.8824650050286822</v>
      </c>
      <c r="N154" s="77">
        <v>3.9673148843588528</v>
      </c>
      <c r="O154" s="77">
        <v>4.0524926955543936</v>
      </c>
      <c r="P154" s="77">
        <v>4.1379989519187701</v>
      </c>
      <c r="Q154" s="77">
        <v>4.2238341667554451</v>
      </c>
      <c r="R154" s="77">
        <v>5.1003919578609445</v>
      </c>
      <c r="S154" s="77">
        <v>6.9544022866603772</v>
      </c>
      <c r="T154" s="77">
        <v>8.9463609673427946</v>
      </c>
      <c r="U154" s="77">
        <v>11.080374427626293</v>
      </c>
      <c r="V154" s="77">
        <v>13.360549095228958</v>
      </c>
      <c r="W154" s="80">
        <v>15.790991397868876</v>
      </c>
    </row>
    <row r="155" spans="3:23" x14ac:dyDescent="0.45">
      <c r="C155" s="1008"/>
      <c r="D155" s="8"/>
      <c r="E155" s="1011"/>
      <c r="F155" s="106">
        <v>400</v>
      </c>
      <c r="G155" s="77">
        <v>3.4466989493416023</v>
      </c>
      <c r="H155" s="77">
        <v>3.5301629073858902</v>
      </c>
      <c r="I155" s="77">
        <v>3.6139532968508989</v>
      </c>
      <c r="J155" s="77">
        <v>3.6980706310400917</v>
      </c>
      <c r="K155" s="77">
        <v>3.7825154232569336</v>
      </c>
      <c r="L155" s="77">
        <v>3.8672881868048905</v>
      </c>
      <c r="M155" s="77">
        <v>3.9523894349874262</v>
      </c>
      <c r="N155" s="77">
        <v>4.0378196811080045</v>
      </c>
      <c r="O155" s="77">
        <v>4.1235794384700935</v>
      </c>
      <c r="P155" s="77">
        <v>4.2096692203771537</v>
      </c>
      <c r="Q155" s="77">
        <v>4.2960895401326527</v>
      </c>
      <c r="R155" s="77">
        <v>5.1785852461139772</v>
      </c>
      <c r="S155" s="77">
        <v>7.0449452175064931</v>
      </c>
      <c r="T155" s="77">
        <v>9.0498852912372421</v>
      </c>
      <c r="U155" s="77">
        <v>11.197511895024313</v>
      </c>
      <c r="V155" s="77">
        <v>13.4919314565858</v>
      </c>
      <c r="W155" s="80">
        <v>15.937250403639784</v>
      </c>
    </row>
    <row r="156" spans="3:23" x14ac:dyDescent="0.45">
      <c r="C156" s="1008"/>
      <c r="D156" s="8"/>
      <c r="E156" s="1011"/>
      <c r="F156" s="106">
        <v>500</v>
      </c>
      <c r="G156" s="77">
        <v>3.513174345456795</v>
      </c>
      <c r="H156" s="77">
        <v>3.5972091940346629</v>
      </c>
      <c r="I156" s="77">
        <v>3.6815720534093899</v>
      </c>
      <c r="J156" s="77">
        <v>3.7662634368844383</v>
      </c>
      <c r="K156" s="77">
        <v>3.8512838577632751</v>
      </c>
      <c r="L156" s="77">
        <v>3.9366338293493639</v>
      </c>
      <c r="M156" s="77">
        <v>4.0223138649461703</v>
      </c>
      <c r="N156" s="77">
        <v>4.108324477857157</v>
      </c>
      <c r="O156" s="77">
        <v>4.1946661813857915</v>
      </c>
      <c r="P156" s="77">
        <v>4.2813394888355374</v>
      </c>
      <c r="Q156" s="77">
        <v>4.3683449135098584</v>
      </c>
      <c r="R156" s="77">
        <v>5.256778534367009</v>
      </c>
      <c r="S156" s="77">
        <v>7.1354881483526098</v>
      </c>
      <c r="T156" s="77">
        <v>9.1534096151316895</v>
      </c>
      <c r="U156" s="77">
        <v>11.314649362422337</v>
      </c>
      <c r="V156" s="77">
        <v>13.623313817942641</v>
      </c>
      <c r="W156" s="80">
        <v>16.083509409410688</v>
      </c>
    </row>
    <row r="157" spans="3:23" x14ac:dyDescent="0.45">
      <c r="C157" s="1008"/>
      <c r="D157" s="8"/>
      <c r="E157" s="1011"/>
      <c r="F157" s="106">
        <v>600</v>
      </c>
      <c r="G157" s="77">
        <v>3.5796497415719877</v>
      </c>
      <c r="H157" s="77">
        <v>3.6642554806834355</v>
      </c>
      <c r="I157" s="77">
        <v>3.7491908099678799</v>
      </c>
      <c r="J157" s="77">
        <v>3.8344562427287849</v>
      </c>
      <c r="K157" s="77">
        <v>3.9200522922696157</v>
      </c>
      <c r="L157" s="77">
        <v>4.0059794718938377</v>
      </c>
      <c r="M157" s="77">
        <v>4.092238294904913</v>
      </c>
      <c r="N157" s="77">
        <v>4.1788292746063096</v>
      </c>
      <c r="O157" s="77">
        <v>4.2657529243014913</v>
      </c>
      <c r="P157" s="77">
        <v>4.3530097572939219</v>
      </c>
      <c r="Q157" s="77">
        <v>4.4406002868870669</v>
      </c>
      <c r="R157" s="77">
        <v>5.3349718226200418</v>
      </c>
      <c r="S157" s="77">
        <v>7.2260310791987283</v>
      </c>
      <c r="T157" s="77">
        <v>9.2569339390261369</v>
      </c>
      <c r="U157" s="77">
        <v>11.431786829820357</v>
      </c>
      <c r="V157" s="77">
        <v>13.754696179299479</v>
      </c>
      <c r="W157" s="80">
        <v>16.229768415181596</v>
      </c>
    </row>
    <row r="158" spans="3:23" x14ac:dyDescent="0.45">
      <c r="C158" s="1008"/>
      <c r="D158" s="8"/>
      <c r="E158" s="1011"/>
      <c r="F158" s="106">
        <v>700</v>
      </c>
      <c r="G158" s="77">
        <v>3.6461251376871795</v>
      </c>
      <c r="H158" s="77">
        <v>3.7313017673322078</v>
      </c>
      <c r="I158" s="77">
        <v>3.8168095665263704</v>
      </c>
      <c r="J158" s="77">
        <v>3.9026490485731316</v>
      </c>
      <c r="K158" s="77">
        <v>3.9888207267759568</v>
      </c>
      <c r="L158" s="77">
        <v>4.0753251144383098</v>
      </c>
      <c r="M158" s="77">
        <v>4.1621627248636566</v>
      </c>
      <c r="N158" s="77">
        <v>4.2493340713554613</v>
      </c>
      <c r="O158" s="77">
        <v>4.3368396672171894</v>
      </c>
      <c r="P158" s="77">
        <v>4.4246800257523047</v>
      </c>
      <c r="Q158" s="77">
        <v>4.5128556602642718</v>
      </c>
      <c r="R158" s="77">
        <v>5.4131651108730727</v>
      </c>
      <c r="S158" s="77">
        <v>7.3165740100448442</v>
      </c>
      <c r="T158" s="77">
        <v>9.3604582629205808</v>
      </c>
      <c r="U158" s="77">
        <v>11.548924297218379</v>
      </c>
      <c r="V158" s="77">
        <v>13.886078540656323</v>
      </c>
      <c r="W158" s="80">
        <v>16.376027420952504</v>
      </c>
    </row>
    <row r="159" spans="3:23" x14ac:dyDescent="0.45">
      <c r="C159" s="1008"/>
      <c r="D159" s="8"/>
      <c r="E159" s="1011"/>
      <c r="F159" s="106">
        <v>800</v>
      </c>
      <c r="G159" s="77">
        <v>3.7126005338023722</v>
      </c>
      <c r="H159" s="77">
        <v>3.7983480539809804</v>
      </c>
      <c r="I159" s="77">
        <v>3.8844283230848609</v>
      </c>
      <c r="J159" s="77">
        <v>3.9708418544174782</v>
      </c>
      <c r="K159" s="77">
        <v>4.0575891612822979</v>
      </c>
      <c r="L159" s="77">
        <v>4.1446707569827828</v>
      </c>
      <c r="M159" s="77">
        <v>4.2320871548224002</v>
      </c>
      <c r="N159" s="77">
        <v>4.3198388681046147</v>
      </c>
      <c r="O159" s="77">
        <v>4.4079264101328883</v>
      </c>
      <c r="P159" s="77">
        <v>4.4963502942106892</v>
      </c>
      <c r="Q159" s="77">
        <v>4.5851110336414793</v>
      </c>
      <c r="R159" s="77">
        <v>5.4913583991261063</v>
      </c>
      <c r="S159" s="77">
        <v>7.4071169408909627</v>
      </c>
      <c r="T159" s="77">
        <v>9.46398258681503</v>
      </c>
      <c r="U159" s="77">
        <v>11.666061764616401</v>
      </c>
      <c r="V159" s="77">
        <v>14.017460902013166</v>
      </c>
      <c r="W159" s="80">
        <v>16.522286426723412</v>
      </c>
    </row>
    <row r="160" spans="3:23" ht="14.65" thickBot="1" x14ac:dyDescent="0.5">
      <c r="C160" s="1008"/>
      <c r="D160" s="8"/>
      <c r="E160" s="1012"/>
      <c r="F160" s="909">
        <v>900</v>
      </c>
      <c r="G160" s="78">
        <v>3.7790759299175649</v>
      </c>
      <c r="H160" s="78">
        <v>3.8653943406297526</v>
      </c>
      <c r="I160" s="78">
        <v>3.9520470796433513</v>
      </c>
      <c r="J160" s="78">
        <v>4.0390346602618248</v>
      </c>
      <c r="K160" s="78">
        <v>4.1263575957886385</v>
      </c>
      <c r="L160" s="78">
        <v>4.2140163995272566</v>
      </c>
      <c r="M160" s="78">
        <v>4.3020115847811446</v>
      </c>
      <c r="N160" s="78">
        <v>4.3903436648537664</v>
      </c>
      <c r="O160" s="78">
        <v>4.4790131530485882</v>
      </c>
      <c r="P160" s="78">
        <v>4.5680205626690729</v>
      </c>
      <c r="Q160" s="78">
        <v>4.657366407018686</v>
      </c>
      <c r="R160" s="78">
        <v>5.5695516873791382</v>
      </c>
      <c r="S160" s="78">
        <v>7.4976598717370786</v>
      </c>
      <c r="T160" s="78">
        <v>9.5675069107094775</v>
      </c>
      <c r="U160" s="78">
        <v>11.783199232014422</v>
      </c>
      <c r="V160" s="78">
        <v>14.148843263370008</v>
      </c>
      <c r="W160" s="81">
        <v>16.668545432494316</v>
      </c>
    </row>
    <row r="161" spans="3:23" ht="14.65" thickBot="1" x14ac:dyDescent="0.5">
      <c r="C161" s="1008"/>
      <c r="D161" s="8"/>
      <c r="G161" s="834"/>
      <c r="H161" s="834"/>
      <c r="I161" s="834"/>
      <c r="J161" s="834"/>
      <c r="K161" s="834"/>
      <c r="L161" s="834"/>
      <c r="M161" s="834"/>
      <c r="N161" s="834"/>
      <c r="O161" s="834"/>
      <c r="P161" s="834"/>
      <c r="Q161" s="834"/>
      <c r="R161" s="834"/>
      <c r="S161" s="834"/>
      <c r="T161" s="834"/>
      <c r="U161" s="834"/>
      <c r="V161" s="834"/>
      <c r="W161" s="834"/>
    </row>
    <row r="162" spans="3:23" ht="14.65" thickBot="1" x14ac:dyDescent="0.5">
      <c r="C162" s="1008"/>
      <c r="D162" s="911" t="s">
        <v>138</v>
      </c>
      <c r="E162" s="37"/>
      <c r="F162" s="37" t="s">
        <v>408</v>
      </c>
      <c r="G162" s="926">
        <v>0</v>
      </c>
      <c r="H162" s="927">
        <v>10</v>
      </c>
      <c r="I162" s="927">
        <v>20</v>
      </c>
      <c r="J162" s="927">
        <v>30</v>
      </c>
      <c r="K162" s="927">
        <v>40</v>
      </c>
      <c r="L162" s="927">
        <v>50</v>
      </c>
      <c r="M162" s="927">
        <v>60</v>
      </c>
      <c r="N162" s="927">
        <v>70</v>
      </c>
      <c r="O162" s="927">
        <v>80</v>
      </c>
      <c r="P162" s="927">
        <v>90</v>
      </c>
      <c r="Q162" s="927">
        <v>100</v>
      </c>
      <c r="R162" s="927">
        <v>200</v>
      </c>
      <c r="S162" s="927">
        <v>400</v>
      </c>
      <c r="T162" s="927">
        <v>600</v>
      </c>
      <c r="U162" s="927">
        <v>800</v>
      </c>
      <c r="V162" s="927">
        <v>1000</v>
      </c>
      <c r="W162" s="928">
        <v>1200</v>
      </c>
    </row>
    <row r="163" spans="3:23" ht="15" customHeight="1" x14ac:dyDescent="0.45">
      <c r="C163" s="1008"/>
      <c r="D163" s="8"/>
      <c r="E163" s="1010" t="s">
        <v>407</v>
      </c>
      <c r="F163" s="910">
        <v>0</v>
      </c>
      <c r="G163" s="923">
        <v>2.4974331302350303</v>
      </c>
      <c r="H163" s="923">
        <v>2.5211837670341537</v>
      </c>
      <c r="I163" s="923">
        <v>2.5449597791432303</v>
      </c>
      <c r="J163" s="923">
        <v>2.5687611665622585</v>
      </c>
      <c r="K163" s="923">
        <v>2.5925879292912395</v>
      </c>
      <c r="L163" s="923">
        <v>2.616440067330172</v>
      </c>
      <c r="M163" s="923">
        <v>2.6403175806790578</v>
      </c>
      <c r="N163" s="923">
        <v>2.6642204693378955</v>
      </c>
      <c r="O163" s="923">
        <v>2.6881487333066856</v>
      </c>
      <c r="P163" s="923">
        <v>2.7121023725854285</v>
      </c>
      <c r="Q163" s="923">
        <v>2.7360813871741234</v>
      </c>
      <c r="R163" s="76">
        <v>2.9772671751084498</v>
      </c>
      <c r="S163" s="76">
        <v>3.4672513439628068</v>
      </c>
      <c r="T163" s="76">
        <v>3.9673856367980997</v>
      </c>
      <c r="U163" s="76">
        <v>4.4776700536143288</v>
      </c>
      <c r="V163" s="76">
        <v>4.9981045944114939</v>
      </c>
      <c r="W163" s="79">
        <v>5.528689259189596</v>
      </c>
    </row>
    <row r="164" spans="3:23" x14ac:dyDescent="0.45">
      <c r="C164" s="1008"/>
      <c r="D164" s="8"/>
      <c r="E164" s="1011"/>
      <c r="F164" s="106">
        <v>10</v>
      </c>
      <c r="G164" s="77">
        <v>2.502843286295612</v>
      </c>
      <c r="H164" s="77">
        <v>2.526648862847872</v>
      </c>
      <c r="I164" s="77">
        <v>2.5504799726476977</v>
      </c>
      <c r="J164" s="77">
        <v>2.5743366156950902</v>
      </c>
      <c r="K164" s="77">
        <v>2.5982187919900483</v>
      </c>
      <c r="L164" s="77">
        <v>2.6221265015325725</v>
      </c>
      <c r="M164" s="77">
        <v>2.6460597443226632</v>
      </c>
      <c r="N164" s="77">
        <v>2.6700185203603199</v>
      </c>
      <c r="O164" s="77">
        <v>2.6940028296455427</v>
      </c>
      <c r="P164" s="77">
        <v>2.7180126721783324</v>
      </c>
      <c r="Q164" s="77">
        <v>2.7420480479586873</v>
      </c>
      <c r="R164" s="77">
        <v>2.9838061343783782</v>
      </c>
      <c r="S164" s="77">
        <v>3.4749822814876046</v>
      </c>
      <c r="T164" s="77">
        <v>3.9763717276232926</v>
      </c>
      <c r="U164" s="77">
        <v>4.4879744727854405</v>
      </c>
      <c r="V164" s="77">
        <v>5.00979051697405</v>
      </c>
      <c r="W164" s="80">
        <v>5.5418198601891202</v>
      </c>
    </row>
    <row r="165" spans="3:23" x14ac:dyDescent="0.45">
      <c r="C165" s="1008"/>
      <c r="D165" s="8"/>
      <c r="E165" s="1011"/>
      <c r="F165" s="106">
        <v>20</v>
      </c>
      <c r="G165" s="77">
        <v>2.5082534423561937</v>
      </c>
      <c r="H165" s="924">
        <v>2.5321139586615895</v>
      </c>
      <c r="I165" s="77">
        <v>2.5560001661521659</v>
      </c>
      <c r="J165" s="77">
        <v>2.5799120648279215</v>
      </c>
      <c r="K165" s="77">
        <v>2.6038496546888572</v>
      </c>
      <c r="L165" s="77">
        <v>2.6278129357349727</v>
      </c>
      <c r="M165" s="77">
        <v>2.6518019079662687</v>
      </c>
      <c r="N165" s="77">
        <v>2.675816571382744</v>
      </c>
      <c r="O165" s="77">
        <v>2.6998569259844007</v>
      </c>
      <c r="P165" s="77">
        <v>2.7239229717712359</v>
      </c>
      <c r="Q165" s="77">
        <v>2.7480147087432516</v>
      </c>
      <c r="R165" s="77">
        <v>2.9903450936483056</v>
      </c>
      <c r="S165" s="77">
        <v>3.4827132190124028</v>
      </c>
      <c r="T165" s="77">
        <v>3.985357818448485</v>
      </c>
      <c r="U165" s="77">
        <v>4.4982788919565531</v>
      </c>
      <c r="V165" s="77">
        <v>5.0214764395366061</v>
      </c>
      <c r="W165" s="80">
        <v>5.5549504611886444</v>
      </c>
    </row>
    <row r="166" spans="3:23" x14ac:dyDescent="0.45">
      <c r="C166" s="1008"/>
      <c r="D166" s="8"/>
      <c r="E166" s="1011"/>
      <c r="F166" s="106">
        <v>30</v>
      </c>
      <c r="G166" s="77">
        <v>2.5136635984167759</v>
      </c>
      <c r="H166" s="77">
        <v>2.5375790544753074</v>
      </c>
      <c r="I166" s="77">
        <v>2.5615203596566336</v>
      </c>
      <c r="J166" s="77">
        <v>2.5854875139607532</v>
      </c>
      <c r="K166" s="77">
        <v>2.6094805173876665</v>
      </c>
      <c r="L166" s="77">
        <v>2.6334993699373732</v>
      </c>
      <c r="M166" s="77">
        <v>2.6575440716098742</v>
      </c>
      <c r="N166" s="77">
        <v>2.6816146224051689</v>
      </c>
      <c r="O166" s="77">
        <v>2.7057110223232579</v>
      </c>
      <c r="P166" s="77">
        <v>2.7298332713641398</v>
      </c>
      <c r="Q166" s="77">
        <v>2.7539813695278159</v>
      </c>
      <c r="R166" s="77">
        <v>2.996884052918233</v>
      </c>
      <c r="S166" s="77">
        <v>3.4904441565372011</v>
      </c>
      <c r="T166" s="77">
        <v>3.9943439092736783</v>
      </c>
      <c r="U166" s="77">
        <v>4.5085833111276656</v>
      </c>
      <c r="V166" s="77">
        <v>5.0331623620991621</v>
      </c>
      <c r="W166" s="80">
        <v>5.5680810621881687</v>
      </c>
    </row>
    <row r="167" spans="3:23" x14ac:dyDescent="0.45">
      <c r="C167" s="1008"/>
      <c r="D167" s="8"/>
      <c r="E167" s="1011"/>
      <c r="F167" s="106">
        <v>40</v>
      </c>
      <c r="G167" s="77">
        <v>2.5190737544773576</v>
      </c>
      <c r="H167" s="77">
        <v>2.5430441502890258</v>
      </c>
      <c r="I167" s="77">
        <v>2.5670405531611014</v>
      </c>
      <c r="J167" s="77">
        <v>2.5910629630935844</v>
      </c>
      <c r="K167" s="77">
        <v>2.6151113800864754</v>
      </c>
      <c r="L167" s="77">
        <v>2.6391858041397738</v>
      </c>
      <c r="M167" s="77">
        <v>2.6632862352534796</v>
      </c>
      <c r="N167" s="77">
        <v>2.6874126734275934</v>
      </c>
      <c r="O167" s="77">
        <v>2.711565118662115</v>
      </c>
      <c r="P167" s="77">
        <v>2.7357435709570437</v>
      </c>
      <c r="Q167" s="77">
        <v>2.7599480303123798</v>
      </c>
      <c r="R167" s="77">
        <v>3.0034230121881609</v>
      </c>
      <c r="S167" s="77">
        <v>3.4981750940619989</v>
      </c>
      <c r="T167" s="77">
        <v>4.0033300000988712</v>
      </c>
      <c r="U167" s="77">
        <v>4.5188877302987773</v>
      </c>
      <c r="V167" s="77">
        <v>5.0448482846617182</v>
      </c>
      <c r="W167" s="80">
        <v>5.5812116631876929</v>
      </c>
    </row>
    <row r="168" spans="3:23" x14ac:dyDescent="0.45">
      <c r="C168" s="1008"/>
      <c r="D168" s="8"/>
      <c r="E168" s="1011"/>
      <c r="F168" s="106">
        <v>50</v>
      </c>
      <c r="G168" s="77">
        <v>2.5244839105379393</v>
      </c>
      <c r="H168" s="77">
        <v>2.5485092461027432</v>
      </c>
      <c r="I168" s="77">
        <v>2.5725607466655691</v>
      </c>
      <c r="J168" s="77">
        <v>2.5966384122264161</v>
      </c>
      <c r="K168" s="77">
        <v>2.6207422427852842</v>
      </c>
      <c r="L168" s="77">
        <v>2.6448722383421739</v>
      </c>
      <c r="M168" s="77">
        <v>2.6690283988970855</v>
      </c>
      <c r="N168" s="77">
        <v>2.6932107244500179</v>
      </c>
      <c r="O168" s="77">
        <v>2.7174192150009722</v>
      </c>
      <c r="P168" s="77">
        <v>2.7416538705499476</v>
      </c>
      <c r="Q168" s="77">
        <v>2.7659146910969437</v>
      </c>
      <c r="R168" s="77">
        <v>3.0099619714580887</v>
      </c>
      <c r="S168" s="77">
        <v>3.5059060315867967</v>
      </c>
      <c r="T168" s="77">
        <v>4.012316090924064</v>
      </c>
      <c r="U168" s="77">
        <v>4.5291921494698899</v>
      </c>
      <c r="V168" s="77">
        <v>5.0565342072242743</v>
      </c>
      <c r="W168" s="80">
        <v>5.594342264187218</v>
      </c>
    </row>
    <row r="169" spans="3:23" x14ac:dyDescent="0.45">
      <c r="C169" s="1008"/>
      <c r="D169" s="8"/>
      <c r="E169" s="1011"/>
      <c r="F169" s="106">
        <v>60</v>
      </c>
      <c r="G169" s="77">
        <v>2.529894066598521</v>
      </c>
      <c r="H169" s="77">
        <v>2.5539743419164616</v>
      </c>
      <c r="I169" s="77">
        <v>2.5780809401700369</v>
      </c>
      <c r="J169" s="77">
        <v>2.6022138613592478</v>
      </c>
      <c r="K169" s="77">
        <v>2.6263731054840935</v>
      </c>
      <c r="L169" s="77">
        <v>2.6505586725445744</v>
      </c>
      <c r="M169" s="77">
        <v>2.674770562540691</v>
      </c>
      <c r="N169" s="77">
        <v>2.6990087754724423</v>
      </c>
      <c r="O169" s="77">
        <v>2.7232733113398293</v>
      </c>
      <c r="P169" s="77">
        <v>2.7475641701428515</v>
      </c>
      <c r="Q169" s="77">
        <v>2.7718813518815084</v>
      </c>
      <c r="R169" s="77">
        <v>3.0165009307280162</v>
      </c>
      <c r="S169" s="77">
        <v>3.513636969111595</v>
      </c>
      <c r="T169" s="77">
        <v>4.0213021817492569</v>
      </c>
      <c r="U169" s="77">
        <v>4.5394965686410016</v>
      </c>
      <c r="V169" s="77">
        <v>5.0682201297868303</v>
      </c>
      <c r="W169" s="80">
        <v>5.6074728651867431</v>
      </c>
    </row>
    <row r="170" spans="3:23" x14ac:dyDescent="0.45">
      <c r="C170" s="1008"/>
      <c r="D170" s="8"/>
      <c r="E170" s="1011"/>
      <c r="F170" s="106">
        <v>70</v>
      </c>
      <c r="G170" s="77">
        <v>2.5353042226591027</v>
      </c>
      <c r="H170" s="77">
        <v>2.559439437730179</v>
      </c>
      <c r="I170" s="77">
        <v>2.5836011336745051</v>
      </c>
      <c r="J170" s="77">
        <v>2.6077893104920791</v>
      </c>
      <c r="K170" s="77">
        <v>2.6320039681829024</v>
      </c>
      <c r="L170" s="77">
        <v>2.656245106746975</v>
      </c>
      <c r="M170" s="77">
        <v>2.680512726184296</v>
      </c>
      <c r="N170" s="77">
        <v>2.7048068264948668</v>
      </c>
      <c r="O170" s="77">
        <v>2.7291274076786869</v>
      </c>
      <c r="P170" s="77">
        <v>2.7534744697357549</v>
      </c>
      <c r="Q170" s="77">
        <v>2.7778480126660727</v>
      </c>
      <c r="R170" s="77">
        <v>3.0230398899979436</v>
      </c>
      <c r="S170" s="77">
        <v>3.5213679066363932</v>
      </c>
      <c r="T170" s="77">
        <v>4.0302882725744489</v>
      </c>
      <c r="U170" s="77">
        <v>4.5498009878121142</v>
      </c>
      <c r="V170" s="77">
        <v>5.0799060523493864</v>
      </c>
      <c r="W170" s="80">
        <v>5.6206034661862674</v>
      </c>
    </row>
    <row r="171" spans="3:23" x14ac:dyDescent="0.45">
      <c r="C171" s="1008"/>
      <c r="D171" s="8"/>
      <c r="E171" s="1011"/>
      <c r="F171" s="106">
        <v>80</v>
      </c>
      <c r="G171" s="77">
        <v>2.5407143787196849</v>
      </c>
      <c r="H171" s="77">
        <v>2.5649045335438969</v>
      </c>
      <c r="I171" s="77">
        <v>2.5891213271789724</v>
      </c>
      <c r="J171" s="77">
        <v>2.6133647596249108</v>
      </c>
      <c r="K171" s="77">
        <v>2.6376348308817112</v>
      </c>
      <c r="L171" s="77">
        <v>2.6619315409493751</v>
      </c>
      <c r="M171" s="77">
        <v>2.6862548898279019</v>
      </c>
      <c r="N171" s="77">
        <v>2.7106048775172913</v>
      </c>
      <c r="O171" s="77">
        <v>2.7349815040175436</v>
      </c>
      <c r="P171" s="77">
        <v>2.7593847693286593</v>
      </c>
      <c r="Q171" s="77">
        <v>2.7838146734506366</v>
      </c>
      <c r="R171" s="77">
        <v>3.0295788492678715</v>
      </c>
      <c r="S171" s="77">
        <v>3.529098844161191</v>
      </c>
      <c r="T171" s="77">
        <v>4.0392743633996417</v>
      </c>
      <c r="U171" s="77">
        <v>4.5601054069832259</v>
      </c>
      <c r="V171" s="77">
        <v>5.0915919749119425</v>
      </c>
      <c r="W171" s="80">
        <v>5.6337340671857916</v>
      </c>
    </row>
    <row r="172" spans="3:23" x14ac:dyDescent="0.45">
      <c r="C172" s="1008"/>
      <c r="D172" s="8"/>
      <c r="E172" s="1011"/>
      <c r="F172" s="106">
        <v>90</v>
      </c>
      <c r="G172" s="77">
        <v>2.5461245347802661</v>
      </c>
      <c r="H172" s="77">
        <v>2.5703696293576153</v>
      </c>
      <c r="I172" s="77">
        <v>2.5946415206834406</v>
      </c>
      <c r="J172" s="77">
        <v>2.6189402087577425</v>
      </c>
      <c r="K172" s="77">
        <v>2.6432656935805205</v>
      </c>
      <c r="L172" s="77">
        <v>2.6676179751517757</v>
      </c>
      <c r="M172" s="77">
        <v>2.691997053471507</v>
      </c>
      <c r="N172" s="77">
        <v>2.7164029285397158</v>
      </c>
      <c r="O172" s="77">
        <v>2.7408356003564012</v>
      </c>
      <c r="P172" s="77">
        <v>2.7652950689215627</v>
      </c>
      <c r="Q172" s="77">
        <v>2.7897813342352009</v>
      </c>
      <c r="R172" s="77">
        <v>3.0361178085377993</v>
      </c>
      <c r="S172" s="77">
        <v>3.5368297816859888</v>
      </c>
      <c r="T172" s="77">
        <v>4.0482604542248346</v>
      </c>
      <c r="U172" s="77">
        <v>4.5704098261543384</v>
      </c>
      <c r="V172" s="77">
        <v>5.1032778974744986</v>
      </c>
      <c r="W172" s="80">
        <v>5.6468646681853158</v>
      </c>
    </row>
    <row r="173" spans="3:23" x14ac:dyDescent="0.45">
      <c r="C173" s="1008"/>
      <c r="E173" s="1011"/>
      <c r="F173" s="106">
        <v>100</v>
      </c>
      <c r="G173" s="77">
        <v>2.5515346908408487</v>
      </c>
      <c r="H173" s="77">
        <v>2.5758347251713332</v>
      </c>
      <c r="I173" s="77">
        <v>2.6001617141879079</v>
      </c>
      <c r="J173" s="77">
        <v>2.6245156578905737</v>
      </c>
      <c r="K173" s="77">
        <v>2.6488965562793299</v>
      </c>
      <c r="L173" s="77">
        <v>2.6733044093541758</v>
      </c>
      <c r="M173" s="77">
        <v>2.6977392171151129</v>
      </c>
      <c r="N173" s="77">
        <v>2.7222009795621402</v>
      </c>
      <c r="O173" s="77">
        <v>2.7466896966952583</v>
      </c>
      <c r="P173" s="77">
        <v>2.7712053685144666</v>
      </c>
      <c r="Q173" s="77">
        <v>2.7957479950197648</v>
      </c>
      <c r="R173" s="77">
        <v>3.0426567678077268</v>
      </c>
      <c r="S173" s="77">
        <v>3.5445607192107871</v>
      </c>
      <c r="T173" s="77">
        <v>4.0572465450500284</v>
      </c>
      <c r="U173" s="77">
        <v>4.580714245325451</v>
      </c>
      <c r="V173" s="77">
        <v>5.1149638200370546</v>
      </c>
      <c r="W173" s="80">
        <v>5.6599952691848401</v>
      </c>
    </row>
    <row r="174" spans="3:23" x14ac:dyDescent="0.45">
      <c r="C174" s="1008"/>
      <c r="D174" s="920"/>
      <c r="E174" s="1011"/>
      <c r="F174" s="106">
        <v>200</v>
      </c>
      <c r="G174" s="77">
        <v>2.6056362514466667</v>
      </c>
      <c r="H174" s="77">
        <v>2.6304856833085122</v>
      </c>
      <c r="I174" s="77">
        <v>2.6553636492325863</v>
      </c>
      <c r="J174" s="77">
        <v>2.680270149218889</v>
      </c>
      <c r="K174" s="77">
        <v>2.7052051832674202</v>
      </c>
      <c r="L174" s="77">
        <v>2.7301687513781796</v>
      </c>
      <c r="M174" s="77">
        <v>2.7551608535511685</v>
      </c>
      <c r="N174" s="77">
        <v>2.7801814897863846</v>
      </c>
      <c r="O174" s="77">
        <v>2.8052306600838302</v>
      </c>
      <c r="P174" s="77">
        <v>2.8303083644435048</v>
      </c>
      <c r="Q174" s="77">
        <v>2.855414602865407</v>
      </c>
      <c r="R174" s="77">
        <v>3.1080463605070041</v>
      </c>
      <c r="S174" s="77">
        <v>3.621870094458767</v>
      </c>
      <c r="T174" s="77">
        <v>4.147107453301957</v>
      </c>
      <c r="U174" s="77">
        <v>4.6837584370365732</v>
      </c>
      <c r="V174" s="77">
        <v>5.2318230456626154</v>
      </c>
      <c r="W174" s="80">
        <v>5.7913012791800842</v>
      </c>
    </row>
    <row r="175" spans="3:23" x14ac:dyDescent="0.45">
      <c r="C175" s="1008"/>
      <c r="D175" s="920"/>
      <c r="E175" s="1011"/>
      <c r="F175" s="106">
        <v>300</v>
      </c>
      <c r="G175" s="77">
        <v>2.6597378120524846</v>
      </c>
      <c r="H175" s="77">
        <v>2.6851366414456912</v>
      </c>
      <c r="I175" s="77">
        <v>2.7105655842772638</v>
      </c>
      <c r="J175" s="77">
        <v>2.7360246405472042</v>
      </c>
      <c r="K175" s="77">
        <v>2.7615138102555097</v>
      </c>
      <c r="L175" s="77">
        <v>2.787033093402183</v>
      </c>
      <c r="M175" s="77">
        <v>2.8125824899872232</v>
      </c>
      <c r="N175" s="77">
        <v>2.8381620000106293</v>
      </c>
      <c r="O175" s="77">
        <v>2.8637716234724024</v>
      </c>
      <c r="P175" s="77">
        <v>2.8894113603725424</v>
      </c>
      <c r="Q175" s="77">
        <v>2.9150812107110484</v>
      </c>
      <c r="R175" s="77">
        <v>3.1734359532062801</v>
      </c>
      <c r="S175" s="77">
        <v>3.6991794697067473</v>
      </c>
      <c r="T175" s="77">
        <v>4.2369683615538856</v>
      </c>
      <c r="U175" s="77">
        <v>4.7868026287476955</v>
      </c>
      <c r="V175" s="77">
        <v>5.3486822712881761</v>
      </c>
      <c r="W175" s="80">
        <v>5.9226072891753274</v>
      </c>
    </row>
    <row r="176" spans="3:23" x14ac:dyDescent="0.45">
      <c r="C176" s="1008"/>
      <c r="D176" s="920"/>
      <c r="E176" s="1011"/>
      <c r="F176" s="106">
        <v>400</v>
      </c>
      <c r="G176" s="77">
        <v>2.713839372658303</v>
      </c>
      <c r="H176" s="77">
        <v>2.7397875995828702</v>
      </c>
      <c r="I176" s="77">
        <v>2.7657675193219422</v>
      </c>
      <c r="J176" s="77">
        <v>2.791779131875519</v>
      </c>
      <c r="K176" s="77">
        <v>2.8178224372436</v>
      </c>
      <c r="L176" s="77">
        <v>2.8438974354261868</v>
      </c>
      <c r="M176" s="77">
        <v>2.8700041264232778</v>
      </c>
      <c r="N176" s="77">
        <v>2.8961425102348737</v>
      </c>
      <c r="O176" s="77">
        <v>2.9223125868609752</v>
      </c>
      <c r="P176" s="77">
        <v>2.9485143563015805</v>
      </c>
      <c r="Q176" s="77">
        <v>2.9747478185566907</v>
      </c>
      <c r="R176" s="77">
        <v>3.238825545905557</v>
      </c>
      <c r="S176" s="77">
        <v>3.7764888449547271</v>
      </c>
      <c r="T176" s="77">
        <v>4.3268292698058133</v>
      </c>
      <c r="U176" s="77">
        <v>4.8898468204588168</v>
      </c>
      <c r="V176" s="77">
        <v>5.4655414969137359</v>
      </c>
      <c r="W176" s="80">
        <v>6.0539132991705715</v>
      </c>
    </row>
    <row r="177" spans="3:30" x14ac:dyDescent="0.45">
      <c r="C177" s="1008"/>
      <c r="D177" s="920"/>
      <c r="E177" s="1011"/>
      <c r="F177" s="106">
        <v>500</v>
      </c>
      <c r="G177" s="77">
        <v>2.7679409332641214</v>
      </c>
      <c r="H177" s="77">
        <v>2.7944385577200492</v>
      </c>
      <c r="I177" s="77">
        <v>2.8209694543666206</v>
      </c>
      <c r="J177" s="77">
        <v>2.8475336232038342</v>
      </c>
      <c r="K177" s="77">
        <v>2.8741310642316908</v>
      </c>
      <c r="L177" s="77">
        <v>2.9007617774501906</v>
      </c>
      <c r="M177" s="77">
        <v>2.9274257628593334</v>
      </c>
      <c r="N177" s="77">
        <v>2.9541230204591185</v>
      </c>
      <c r="O177" s="77">
        <v>2.980853550249547</v>
      </c>
      <c r="P177" s="77">
        <v>3.0076173522306187</v>
      </c>
      <c r="Q177" s="77">
        <v>3.0344144264023321</v>
      </c>
      <c r="R177" s="77">
        <v>3.304215138604834</v>
      </c>
      <c r="S177" s="77">
        <v>3.853798220202707</v>
      </c>
      <c r="T177" s="77">
        <v>4.4166901780577419</v>
      </c>
      <c r="U177" s="77">
        <v>4.992891012169939</v>
      </c>
      <c r="V177" s="77">
        <v>5.5824007225392975</v>
      </c>
      <c r="W177" s="80">
        <v>6.1852193091658156</v>
      </c>
    </row>
    <row r="178" spans="3:30" x14ac:dyDescent="0.45">
      <c r="C178" s="1008"/>
      <c r="D178" s="920"/>
      <c r="E178" s="1011"/>
      <c r="F178" s="106">
        <v>600</v>
      </c>
      <c r="G178" s="77">
        <v>2.8220424938699393</v>
      </c>
      <c r="H178" s="77">
        <v>2.8490895158572282</v>
      </c>
      <c r="I178" s="77">
        <v>2.8761713894112986</v>
      </c>
      <c r="J178" s="77">
        <v>2.903288114532149</v>
      </c>
      <c r="K178" s="77">
        <v>2.9304396912197812</v>
      </c>
      <c r="L178" s="77">
        <v>2.9576261194741944</v>
      </c>
      <c r="M178" s="77">
        <v>2.9848473992953881</v>
      </c>
      <c r="N178" s="77">
        <v>3.0121035306833628</v>
      </c>
      <c r="O178" s="77">
        <v>3.0393945136381193</v>
      </c>
      <c r="P178" s="77">
        <v>3.0667203481596568</v>
      </c>
      <c r="Q178" s="77">
        <v>3.0940810342479743</v>
      </c>
      <c r="R178" s="77">
        <v>3.3696047313041104</v>
      </c>
      <c r="S178" s="77">
        <v>3.9311075954506878</v>
      </c>
      <c r="T178" s="77">
        <v>4.5065510863096714</v>
      </c>
      <c r="U178" s="77">
        <v>5.0959352038810604</v>
      </c>
      <c r="V178" s="77">
        <v>5.6992599481648574</v>
      </c>
      <c r="W178" s="80">
        <v>6.3165253191610606</v>
      </c>
    </row>
    <row r="179" spans="3:30" x14ac:dyDescent="0.45">
      <c r="C179" s="1008"/>
      <c r="D179" s="920"/>
      <c r="E179" s="1011"/>
      <c r="F179" s="106">
        <v>700</v>
      </c>
      <c r="G179" s="77">
        <v>2.8761440544757577</v>
      </c>
      <c r="H179" s="77">
        <v>2.9037404739944073</v>
      </c>
      <c r="I179" s="77">
        <v>2.9313733244559765</v>
      </c>
      <c r="J179" s="77">
        <v>2.9590426058604642</v>
      </c>
      <c r="K179" s="77">
        <v>2.9867483182078716</v>
      </c>
      <c r="L179" s="77">
        <v>3.0144904614981978</v>
      </c>
      <c r="M179" s="77">
        <v>3.0422690357314428</v>
      </c>
      <c r="N179" s="77">
        <v>3.0700840409076076</v>
      </c>
      <c r="O179" s="77">
        <v>3.0979354770266916</v>
      </c>
      <c r="P179" s="77">
        <v>3.1258233440886944</v>
      </c>
      <c r="Q179" s="77">
        <v>3.1537476420936157</v>
      </c>
      <c r="R179" s="77">
        <v>3.4349943240033864</v>
      </c>
      <c r="S179" s="77">
        <v>4.0084169706986685</v>
      </c>
      <c r="T179" s="77">
        <v>4.5964119945615991</v>
      </c>
      <c r="U179" s="77">
        <v>5.1989793955921826</v>
      </c>
      <c r="V179" s="77">
        <v>5.8161191737904172</v>
      </c>
      <c r="W179" s="80">
        <v>6.447831329156303</v>
      </c>
    </row>
    <row r="180" spans="3:30" x14ac:dyDescent="0.45">
      <c r="C180" s="1008"/>
      <c r="D180" s="920"/>
      <c r="E180" s="1011"/>
      <c r="F180" s="106">
        <v>800</v>
      </c>
      <c r="G180" s="77">
        <v>2.9302456150815761</v>
      </c>
      <c r="H180" s="77">
        <v>2.9583914321315863</v>
      </c>
      <c r="I180" s="77">
        <v>2.9865752595006549</v>
      </c>
      <c r="J180" s="77">
        <v>3.0147970971887799</v>
      </c>
      <c r="K180" s="77">
        <v>3.0430569451959624</v>
      </c>
      <c r="L180" s="77">
        <v>3.0713548035222011</v>
      </c>
      <c r="M180" s="77">
        <v>3.0996906721674979</v>
      </c>
      <c r="N180" s="77">
        <v>3.1280645511318519</v>
      </c>
      <c r="O180" s="77">
        <v>3.1564764404152634</v>
      </c>
      <c r="P180" s="77">
        <v>3.1849263400177326</v>
      </c>
      <c r="Q180" s="77">
        <v>3.2134142499392579</v>
      </c>
      <c r="R180" s="77">
        <v>3.5003839167026638</v>
      </c>
      <c r="S180" s="77">
        <v>4.0857263459466484</v>
      </c>
      <c r="T180" s="77">
        <v>4.6862729028135286</v>
      </c>
      <c r="U180" s="77">
        <v>5.3020235873033048</v>
      </c>
      <c r="V180" s="77">
        <v>5.9329783994159788</v>
      </c>
      <c r="W180" s="80">
        <v>6.579137339151548</v>
      </c>
    </row>
    <row r="181" spans="3:30" ht="14.65" thickBot="1" x14ac:dyDescent="0.5">
      <c r="C181" s="1008"/>
      <c r="D181" s="920"/>
      <c r="E181" s="1012"/>
      <c r="F181" s="909">
        <v>900</v>
      </c>
      <c r="G181" s="78">
        <v>2.9843471756873945</v>
      </c>
      <c r="H181" s="78">
        <v>3.0130423902687657</v>
      </c>
      <c r="I181" s="78">
        <v>3.0417771945453329</v>
      </c>
      <c r="J181" s="78">
        <v>3.0705515885170946</v>
      </c>
      <c r="K181" s="78">
        <v>3.0993655721840527</v>
      </c>
      <c r="L181" s="78">
        <v>3.1282191455462049</v>
      </c>
      <c r="M181" s="78">
        <v>3.1571123086035535</v>
      </c>
      <c r="N181" s="78">
        <v>3.1860450613560971</v>
      </c>
      <c r="O181" s="78">
        <v>3.2150174038038362</v>
      </c>
      <c r="P181" s="78">
        <v>3.2440293359467702</v>
      </c>
      <c r="Q181" s="78">
        <v>3.2730808577848998</v>
      </c>
      <c r="R181" s="78">
        <v>3.5657735094019403</v>
      </c>
      <c r="S181" s="78">
        <v>4.1630357211946283</v>
      </c>
      <c r="T181" s="78">
        <v>4.7761338110654572</v>
      </c>
      <c r="U181" s="78">
        <v>5.405067779014427</v>
      </c>
      <c r="V181" s="78">
        <v>6.0498376250415395</v>
      </c>
      <c r="W181" s="81">
        <v>6.7104433491467912</v>
      </c>
    </row>
    <row r="182" spans="3:30" ht="14.65" thickBot="1" x14ac:dyDescent="0.5">
      <c r="C182" s="1008"/>
      <c r="D182" s="920"/>
      <c r="E182" s="4"/>
      <c r="F182" s="4"/>
      <c r="G182" s="107"/>
      <c r="H182" s="107"/>
      <c r="I182" s="107"/>
      <c r="J182" s="107"/>
      <c r="K182" s="107"/>
      <c r="L182" s="107"/>
      <c r="M182" s="107"/>
      <c r="N182" s="107"/>
      <c r="O182" s="107"/>
      <c r="P182" s="107"/>
      <c r="Q182" s="107"/>
      <c r="R182" s="107"/>
      <c r="S182" s="107"/>
      <c r="T182" s="107"/>
      <c r="U182" s="107"/>
      <c r="V182" s="107"/>
      <c r="W182" s="107"/>
      <c r="X182" s="1"/>
      <c r="Y182" s="1"/>
      <c r="Z182" s="1"/>
      <c r="AA182" s="1"/>
      <c r="AB182" s="1"/>
      <c r="AC182" s="1"/>
      <c r="AD182" s="1"/>
    </row>
    <row r="183" spans="3:30" ht="14.65" thickBot="1" x14ac:dyDescent="0.5">
      <c r="C183" s="1008"/>
      <c r="D183" s="911" t="s">
        <v>342</v>
      </c>
      <c r="E183" s="38"/>
      <c r="F183" s="38" t="s">
        <v>408</v>
      </c>
      <c r="G183" s="926">
        <v>0</v>
      </c>
      <c r="H183" s="927">
        <v>10</v>
      </c>
      <c r="I183" s="927">
        <v>20</v>
      </c>
      <c r="J183" s="927">
        <v>30</v>
      </c>
      <c r="K183" s="927">
        <v>40</v>
      </c>
      <c r="L183" s="927">
        <v>50</v>
      </c>
      <c r="M183" s="927">
        <v>60</v>
      </c>
      <c r="N183" s="927">
        <v>70</v>
      </c>
      <c r="O183" s="927">
        <v>80</v>
      </c>
      <c r="P183" s="927">
        <v>90</v>
      </c>
      <c r="Q183" s="927">
        <v>100</v>
      </c>
      <c r="R183" s="927">
        <v>200</v>
      </c>
      <c r="S183" s="927">
        <v>400</v>
      </c>
      <c r="T183" s="927">
        <v>600</v>
      </c>
      <c r="U183" s="927">
        <v>800</v>
      </c>
      <c r="V183" s="927">
        <v>1000</v>
      </c>
      <c r="W183" s="928">
        <v>1200</v>
      </c>
    </row>
    <row r="184" spans="3:30" x14ac:dyDescent="0.45">
      <c r="C184" s="1008"/>
      <c r="D184" s="920"/>
      <c r="E184" s="1010" t="s">
        <v>407</v>
      </c>
      <c r="F184" s="910">
        <v>0</v>
      </c>
      <c r="G184" s="923">
        <v>3.5213507309747101</v>
      </c>
      <c r="H184" s="923">
        <v>3.5530509805264421</v>
      </c>
      <c r="I184" s="923">
        <v>3.5847921703294952</v>
      </c>
      <c r="J184" s="923">
        <v>3.6165743003838697</v>
      </c>
      <c r="K184" s="923">
        <v>3.6483973706895645</v>
      </c>
      <c r="L184" s="923">
        <v>3.6802613812465808</v>
      </c>
      <c r="M184" s="923">
        <v>3.7121663320549176</v>
      </c>
      <c r="N184" s="923">
        <v>3.7441122231145765</v>
      </c>
      <c r="O184" s="923">
        <v>3.7760990544255559</v>
      </c>
      <c r="P184" s="923">
        <v>3.8081268259878565</v>
      </c>
      <c r="Q184" s="923">
        <v>3.8401955378014785</v>
      </c>
      <c r="R184" s="76">
        <v>4.1631343697603516</v>
      </c>
      <c r="S184" s="76">
        <v>4.8212941090744161</v>
      </c>
      <c r="T184" s="76">
        <v>5.4958299489169029</v>
      </c>
      <c r="U184" s="76">
        <v>6.1867418892878145</v>
      </c>
      <c r="V184" s="76">
        <v>6.8940299301871484</v>
      </c>
      <c r="W184" s="79">
        <v>7.6176940716149035</v>
      </c>
    </row>
    <row r="185" spans="3:30" x14ac:dyDescent="0.45">
      <c r="C185" s="1008"/>
      <c r="D185" s="920"/>
      <c r="E185" s="1011"/>
      <c r="F185" s="106">
        <v>10</v>
      </c>
      <c r="G185" s="77">
        <v>3.5273878804756023</v>
      </c>
      <c r="H185" s="77">
        <v>3.5591448366879446</v>
      </c>
      <c r="I185" s="77">
        <v>3.5909428934399088</v>
      </c>
      <c r="J185" s="77">
        <v>3.6227820507314945</v>
      </c>
      <c r="K185" s="77">
        <v>3.6546623085627004</v>
      </c>
      <c r="L185" s="77">
        <v>3.6865836669335286</v>
      </c>
      <c r="M185" s="77">
        <v>3.7185461258439774</v>
      </c>
      <c r="N185" s="77">
        <v>3.7505496852940476</v>
      </c>
      <c r="O185" s="77">
        <v>3.7825943452837398</v>
      </c>
      <c r="P185" s="77">
        <v>3.8146801058130526</v>
      </c>
      <c r="Q185" s="77">
        <v>3.8468069668819869</v>
      </c>
      <c r="R185" s="77">
        <v>4.1703361072504999</v>
      </c>
      <c r="S185" s="77">
        <v>4.8297245498739123</v>
      </c>
      <c r="T185" s="77">
        <v>5.5055532083458392</v>
      </c>
      <c r="U185" s="77">
        <v>6.1978220826662804</v>
      </c>
      <c r="V185" s="77">
        <v>6.906531172835237</v>
      </c>
      <c r="W185" s="80">
        <v>7.6316804788527062</v>
      </c>
    </row>
    <row r="186" spans="3:30" x14ac:dyDescent="0.45">
      <c r="C186" s="1008"/>
      <c r="D186" s="920"/>
      <c r="E186" s="1011"/>
      <c r="F186" s="106">
        <v>20</v>
      </c>
      <c r="G186" s="77">
        <v>3.5334250299764935</v>
      </c>
      <c r="H186" s="924">
        <v>3.5652386928494471</v>
      </c>
      <c r="I186" s="77">
        <v>3.597093616550322</v>
      </c>
      <c r="J186" s="77">
        <v>3.6289898010791184</v>
      </c>
      <c r="K186" s="77">
        <v>3.6609272464358358</v>
      </c>
      <c r="L186" s="77">
        <v>3.6929059526204755</v>
      </c>
      <c r="M186" s="77">
        <v>3.7249259196330362</v>
      </c>
      <c r="N186" s="77">
        <v>3.7569871474735184</v>
      </c>
      <c r="O186" s="77">
        <v>3.7890896361419228</v>
      </c>
      <c r="P186" s="77">
        <v>3.8212333856382488</v>
      </c>
      <c r="Q186" s="77">
        <v>3.8534183959624957</v>
      </c>
      <c r="R186" s="77">
        <v>4.1775378447406482</v>
      </c>
      <c r="S186" s="77">
        <v>4.8381549906734094</v>
      </c>
      <c r="T186" s="77">
        <v>5.5152764677747754</v>
      </c>
      <c r="U186" s="77">
        <v>6.2089022760447472</v>
      </c>
      <c r="V186" s="77">
        <v>6.9190324154833256</v>
      </c>
      <c r="W186" s="80">
        <v>7.6456668860905079</v>
      </c>
    </row>
    <row r="187" spans="3:30" x14ac:dyDescent="0.45">
      <c r="C187" s="1008"/>
      <c r="D187" s="920"/>
      <c r="E187" s="1011"/>
      <c r="F187" s="106">
        <v>30</v>
      </c>
      <c r="G187" s="77">
        <v>3.5394621794773857</v>
      </c>
      <c r="H187" s="77">
        <v>3.5713325490109495</v>
      </c>
      <c r="I187" s="77">
        <v>3.6032443396607361</v>
      </c>
      <c r="J187" s="77">
        <v>3.6351975514267432</v>
      </c>
      <c r="K187" s="77">
        <v>3.6671921843089716</v>
      </c>
      <c r="L187" s="77">
        <v>3.6992282383074229</v>
      </c>
      <c r="M187" s="77">
        <v>3.7313057134220955</v>
      </c>
      <c r="N187" s="77">
        <v>3.76342460965299</v>
      </c>
      <c r="O187" s="77">
        <v>3.7955849270001067</v>
      </c>
      <c r="P187" s="77">
        <v>3.8277866654634449</v>
      </c>
      <c r="Q187" s="77">
        <v>3.8600298250430045</v>
      </c>
      <c r="R187" s="77">
        <v>4.1847395822307973</v>
      </c>
      <c r="S187" s="77">
        <v>4.8465854314729055</v>
      </c>
      <c r="T187" s="77">
        <v>5.5249997272037117</v>
      </c>
      <c r="U187" s="77">
        <v>6.2199824694232149</v>
      </c>
      <c r="V187" s="77">
        <v>6.9315336581314142</v>
      </c>
      <c r="W187" s="80">
        <v>7.6596532933283106</v>
      </c>
    </row>
    <row r="188" spans="3:30" x14ac:dyDescent="0.45">
      <c r="C188" s="1008"/>
      <c r="D188" s="920"/>
      <c r="E188" s="1011"/>
      <c r="F188" s="106">
        <v>40</v>
      </c>
      <c r="G188" s="77">
        <v>3.545499328978277</v>
      </c>
      <c r="H188" s="77">
        <v>3.577426405172452</v>
      </c>
      <c r="I188" s="77">
        <v>3.6093950627711484</v>
      </c>
      <c r="J188" s="77">
        <v>3.6414053017743671</v>
      </c>
      <c r="K188" s="77">
        <v>3.673457122182108</v>
      </c>
      <c r="L188" s="77">
        <v>3.7055505239943702</v>
      </c>
      <c r="M188" s="77">
        <v>3.7376855072111548</v>
      </c>
      <c r="N188" s="77">
        <v>3.7698620718324616</v>
      </c>
      <c r="O188" s="77">
        <v>3.8020802178582902</v>
      </c>
      <c r="P188" s="77">
        <v>3.8343399452886402</v>
      </c>
      <c r="Q188" s="77">
        <v>3.8666412541235129</v>
      </c>
      <c r="R188" s="77">
        <v>4.1919413197209456</v>
      </c>
      <c r="S188" s="77">
        <v>4.8550158722724017</v>
      </c>
      <c r="T188" s="77">
        <v>5.5347229866326471</v>
      </c>
      <c r="U188" s="77">
        <v>6.2310626628016816</v>
      </c>
      <c r="V188" s="77">
        <v>6.9440349007795028</v>
      </c>
      <c r="W188" s="80">
        <v>7.6736397005661132</v>
      </c>
    </row>
    <row r="189" spans="3:30" x14ac:dyDescent="0.45">
      <c r="C189" s="1008"/>
      <c r="D189" s="920"/>
      <c r="E189" s="1011"/>
      <c r="F189" s="106">
        <v>50</v>
      </c>
      <c r="G189" s="77">
        <v>3.5515364784791688</v>
      </c>
      <c r="H189" s="77">
        <v>3.5835202613339541</v>
      </c>
      <c r="I189" s="77">
        <v>3.6155457858815625</v>
      </c>
      <c r="J189" s="77">
        <v>3.6476130521219914</v>
      </c>
      <c r="K189" s="77">
        <v>3.6797220600552434</v>
      </c>
      <c r="L189" s="77">
        <v>3.7118728096813181</v>
      </c>
      <c r="M189" s="77">
        <v>3.7440653010002141</v>
      </c>
      <c r="N189" s="77">
        <v>3.7762995340119323</v>
      </c>
      <c r="O189" s="77">
        <v>3.8085755087164737</v>
      </c>
      <c r="P189" s="77">
        <v>3.8408932251138364</v>
      </c>
      <c r="Q189" s="77">
        <v>3.8732526832040213</v>
      </c>
      <c r="R189" s="77">
        <v>4.1991430572110939</v>
      </c>
      <c r="S189" s="77">
        <v>4.8634463130718988</v>
      </c>
      <c r="T189" s="77">
        <v>5.5444462460615833</v>
      </c>
      <c r="U189" s="77">
        <v>6.2421428561801475</v>
      </c>
      <c r="V189" s="77">
        <v>6.9565361434275923</v>
      </c>
      <c r="W189" s="80">
        <v>7.687626107803915</v>
      </c>
    </row>
    <row r="190" spans="3:30" x14ac:dyDescent="0.45">
      <c r="C190" s="1008"/>
      <c r="D190" s="920"/>
      <c r="E190" s="1011"/>
      <c r="F190" s="106">
        <v>60</v>
      </c>
      <c r="G190" s="77">
        <v>3.5575736279800605</v>
      </c>
      <c r="H190" s="77">
        <v>3.5896141174954566</v>
      </c>
      <c r="I190" s="77">
        <v>3.6216965089919757</v>
      </c>
      <c r="J190" s="77">
        <v>3.6538208024696162</v>
      </c>
      <c r="K190" s="77">
        <v>3.6859869979283797</v>
      </c>
      <c r="L190" s="77">
        <v>3.7181950953682654</v>
      </c>
      <c r="M190" s="77">
        <v>3.7504450947892729</v>
      </c>
      <c r="N190" s="77">
        <v>3.7827369961914039</v>
      </c>
      <c r="O190" s="77">
        <v>3.8150707995746567</v>
      </c>
      <c r="P190" s="77">
        <v>3.8474465049390325</v>
      </c>
      <c r="Q190" s="77">
        <v>3.8798641122845305</v>
      </c>
      <c r="R190" s="77">
        <v>4.2063447947012422</v>
      </c>
      <c r="S190" s="77">
        <v>4.8718767538713958</v>
      </c>
      <c r="T190" s="77">
        <v>5.5541695054905187</v>
      </c>
      <c r="U190" s="77">
        <v>6.2532230495586143</v>
      </c>
      <c r="V190" s="77">
        <v>6.9690373860756809</v>
      </c>
      <c r="W190" s="80">
        <v>7.7016125150417185</v>
      </c>
    </row>
    <row r="191" spans="3:30" x14ac:dyDescent="0.45">
      <c r="C191" s="1008"/>
      <c r="D191" s="920"/>
      <c r="E191" s="1011"/>
      <c r="F191" s="106">
        <v>70</v>
      </c>
      <c r="G191" s="77">
        <v>3.5636107774809531</v>
      </c>
      <c r="H191" s="77">
        <v>3.595707973656959</v>
      </c>
      <c r="I191" s="77">
        <v>3.6278472321023889</v>
      </c>
      <c r="J191" s="77">
        <v>3.6600285528172409</v>
      </c>
      <c r="K191" s="77">
        <v>3.6922519358015151</v>
      </c>
      <c r="L191" s="77">
        <v>3.7245173810552128</v>
      </c>
      <c r="M191" s="77">
        <v>3.7568248885783317</v>
      </c>
      <c r="N191" s="77">
        <v>3.7891744583708755</v>
      </c>
      <c r="O191" s="77">
        <v>3.8215660904328406</v>
      </c>
      <c r="P191" s="77">
        <v>3.8539997847642291</v>
      </c>
      <c r="Q191" s="77">
        <v>3.8864755413650389</v>
      </c>
      <c r="R191" s="77">
        <v>4.2135465321913905</v>
      </c>
      <c r="S191" s="77">
        <v>4.880307194670892</v>
      </c>
      <c r="T191" s="77">
        <v>5.5638927649194549</v>
      </c>
      <c r="U191" s="77">
        <v>6.2643032429370811</v>
      </c>
      <c r="V191" s="77">
        <v>6.9815386287237704</v>
      </c>
      <c r="W191" s="80">
        <v>7.7155989222795203</v>
      </c>
    </row>
    <row r="192" spans="3:30" x14ac:dyDescent="0.45">
      <c r="C192" s="1008"/>
      <c r="D192" s="920"/>
      <c r="E192" s="1011"/>
      <c r="F192" s="106">
        <v>80</v>
      </c>
      <c r="G192" s="77">
        <v>3.5696479269818444</v>
      </c>
      <c r="H192" s="77">
        <v>3.6018018298184615</v>
      </c>
      <c r="I192" s="77">
        <v>3.6339979552128021</v>
      </c>
      <c r="J192" s="77">
        <v>3.6662363031648653</v>
      </c>
      <c r="K192" s="77">
        <v>3.6985168736746514</v>
      </c>
      <c r="L192" s="77">
        <v>3.7308396667421597</v>
      </c>
      <c r="M192" s="77">
        <v>3.7632046823673915</v>
      </c>
      <c r="N192" s="77">
        <v>3.7956119205503462</v>
      </c>
      <c r="O192" s="77">
        <v>3.828061381291024</v>
      </c>
      <c r="P192" s="77">
        <v>3.8605530645894248</v>
      </c>
      <c r="Q192" s="77">
        <v>3.8930869704455477</v>
      </c>
      <c r="R192" s="77">
        <v>4.2207482696815388</v>
      </c>
      <c r="S192" s="77">
        <v>4.8887376354703891</v>
      </c>
      <c r="T192" s="77">
        <v>5.5736160243483912</v>
      </c>
      <c r="U192" s="77">
        <v>6.2753834363155478</v>
      </c>
      <c r="V192" s="77">
        <v>6.994039871371859</v>
      </c>
      <c r="W192" s="80">
        <v>7.729585329517322</v>
      </c>
    </row>
    <row r="193" spans="3:23" x14ac:dyDescent="0.45">
      <c r="C193" s="1008"/>
      <c r="D193" s="920"/>
      <c r="E193" s="1011"/>
      <c r="F193" s="106">
        <v>90</v>
      </c>
      <c r="G193" s="77">
        <v>3.5756850764827357</v>
      </c>
      <c r="H193" s="77">
        <v>3.6078956859799645</v>
      </c>
      <c r="I193" s="77">
        <v>3.6401486783232153</v>
      </c>
      <c r="J193" s="77">
        <v>3.6724440535124896</v>
      </c>
      <c r="K193" s="77">
        <v>3.7047818115477873</v>
      </c>
      <c r="L193" s="77">
        <v>3.7371619524291071</v>
      </c>
      <c r="M193" s="77">
        <v>3.7695844761564503</v>
      </c>
      <c r="N193" s="77">
        <v>3.8020493827298179</v>
      </c>
      <c r="O193" s="77">
        <v>3.8345566721492075</v>
      </c>
      <c r="P193" s="77">
        <v>3.8671063444146205</v>
      </c>
      <c r="Q193" s="77">
        <v>3.8996983995260566</v>
      </c>
      <c r="R193" s="77">
        <v>4.2279500071716871</v>
      </c>
      <c r="S193" s="77">
        <v>4.8971680762698853</v>
      </c>
      <c r="T193" s="77">
        <v>5.5833392837773266</v>
      </c>
      <c r="U193" s="77">
        <v>6.2864636296940146</v>
      </c>
      <c r="V193" s="77">
        <v>7.0065411140199476</v>
      </c>
      <c r="W193" s="80">
        <v>7.7435717367551238</v>
      </c>
    </row>
    <row r="194" spans="3:23" ht="15" customHeight="1" x14ac:dyDescent="0.45">
      <c r="C194" s="1008"/>
      <c r="D194" s="921"/>
      <c r="E194" s="1011"/>
      <c r="F194" s="106">
        <v>100</v>
      </c>
      <c r="G194" s="77">
        <v>3.5817222259836279</v>
      </c>
      <c r="H194" s="77">
        <v>3.6139895421414669</v>
      </c>
      <c r="I194" s="77">
        <v>3.6462994014336285</v>
      </c>
      <c r="J194" s="77">
        <v>3.6786518038601139</v>
      </c>
      <c r="K194" s="77">
        <v>3.7110467494209227</v>
      </c>
      <c r="L194" s="77">
        <v>3.7434842381160545</v>
      </c>
      <c r="M194" s="77">
        <v>3.7759642699455096</v>
      </c>
      <c r="N194" s="77">
        <v>3.8084868449092886</v>
      </c>
      <c r="O194" s="77">
        <v>3.8410519630073909</v>
      </c>
      <c r="P194" s="77">
        <v>3.8736596242398167</v>
      </c>
      <c r="Q194" s="77">
        <v>3.9063098286065649</v>
      </c>
      <c r="R194" s="77">
        <v>4.2351517446618363</v>
      </c>
      <c r="S194" s="77">
        <v>4.9055985170693823</v>
      </c>
      <c r="T194" s="77">
        <v>5.5930625432062628</v>
      </c>
      <c r="U194" s="77">
        <v>6.2975438230724814</v>
      </c>
      <c r="V194" s="77">
        <v>7.0190423566680362</v>
      </c>
      <c r="W194" s="80">
        <v>7.7575581439929273</v>
      </c>
    </row>
    <row r="195" spans="3:23" x14ac:dyDescent="0.45">
      <c r="C195" s="1008"/>
      <c r="D195" s="8"/>
      <c r="E195" s="1011"/>
      <c r="F195" s="106">
        <v>200</v>
      </c>
      <c r="G195" s="77">
        <v>3.6420937209925461</v>
      </c>
      <c r="H195" s="77">
        <v>3.6749281037564909</v>
      </c>
      <c r="I195" s="77">
        <v>3.7078066325377619</v>
      </c>
      <c r="J195" s="77">
        <v>3.740729307336359</v>
      </c>
      <c r="K195" s="77">
        <v>3.7736961281522809</v>
      </c>
      <c r="L195" s="77">
        <v>3.8067070949855291</v>
      </c>
      <c r="M195" s="77">
        <v>3.8397622078361024</v>
      </c>
      <c r="N195" s="77">
        <v>3.8728614667040011</v>
      </c>
      <c r="O195" s="77">
        <v>3.9060048715892259</v>
      </c>
      <c r="P195" s="77">
        <v>3.9391924224917769</v>
      </c>
      <c r="Q195" s="77">
        <v>3.9724241194116523</v>
      </c>
      <c r="R195" s="77">
        <v>4.307169119563321</v>
      </c>
      <c r="S195" s="77">
        <v>4.9899029250643476</v>
      </c>
      <c r="T195" s="77">
        <v>5.6902951374956237</v>
      </c>
      <c r="U195" s="77">
        <v>6.4083457568571491</v>
      </c>
      <c r="V195" s="77">
        <v>7.1440547831489249</v>
      </c>
      <c r="W195" s="80">
        <v>7.8974222163709502</v>
      </c>
    </row>
    <row r="196" spans="3:23" x14ac:dyDescent="0.45">
      <c r="C196" s="1008"/>
      <c r="D196" s="8"/>
      <c r="E196" s="1011"/>
      <c r="F196" s="106">
        <v>300</v>
      </c>
      <c r="G196" s="77">
        <v>3.7024652160014631</v>
      </c>
      <c r="H196" s="77">
        <v>3.7358666653715158</v>
      </c>
      <c r="I196" s="77">
        <v>3.7693138636418952</v>
      </c>
      <c r="J196" s="77">
        <v>3.8028068108126032</v>
      </c>
      <c r="K196" s="77">
        <v>3.8363455068836387</v>
      </c>
      <c r="L196" s="77">
        <v>3.8699299518550023</v>
      </c>
      <c r="M196" s="77">
        <v>3.9035601457266935</v>
      </c>
      <c r="N196" s="77">
        <v>3.9372360884987136</v>
      </c>
      <c r="O196" s="77">
        <v>3.9709577801710605</v>
      </c>
      <c r="P196" s="77">
        <v>4.0047252207437367</v>
      </c>
      <c r="Q196" s="77">
        <v>4.0385384102167396</v>
      </c>
      <c r="R196" s="77">
        <v>4.3791864944648058</v>
      </c>
      <c r="S196" s="77">
        <v>5.0742073330593129</v>
      </c>
      <c r="T196" s="77">
        <v>5.7875277317849818</v>
      </c>
      <c r="U196" s="77">
        <v>6.519147690641816</v>
      </c>
      <c r="V196" s="77">
        <v>7.2690672096298137</v>
      </c>
      <c r="W196" s="80">
        <v>8.0372862887489731</v>
      </c>
    </row>
    <row r="197" spans="3:23" x14ac:dyDescent="0.45">
      <c r="C197" s="1008"/>
      <c r="D197" s="8"/>
      <c r="E197" s="1011"/>
      <c r="F197" s="106">
        <v>400</v>
      </c>
      <c r="G197" s="77">
        <v>3.7628367110103813</v>
      </c>
      <c r="H197" s="77">
        <v>3.7968052269865393</v>
      </c>
      <c r="I197" s="77">
        <v>3.8308210947460282</v>
      </c>
      <c r="J197" s="77">
        <v>3.8648843142888474</v>
      </c>
      <c r="K197" s="77">
        <v>3.8989948856149965</v>
      </c>
      <c r="L197" s="77">
        <v>3.9331528087244765</v>
      </c>
      <c r="M197" s="77">
        <v>3.9673580836172855</v>
      </c>
      <c r="N197" s="77">
        <v>4.0016107102934253</v>
      </c>
      <c r="O197" s="77">
        <v>4.0359106887528959</v>
      </c>
      <c r="P197" s="77">
        <v>4.0702580189956965</v>
      </c>
      <c r="Q197" s="77">
        <v>4.1046527010218261</v>
      </c>
      <c r="R197" s="77">
        <v>4.4512038693662905</v>
      </c>
      <c r="S197" s="77">
        <v>5.1585117410542782</v>
      </c>
      <c r="T197" s="77">
        <v>5.8847603260743426</v>
      </c>
      <c r="U197" s="77">
        <v>6.6299496244264837</v>
      </c>
      <c r="V197" s="77">
        <v>7.3940796361107015</v>
      </c>
      <c r="W197" s="80">
        <v>8.177150361126996</v>
      </c>
    </row>
    <row r="198" spans="3:23" x14ac:dyDescent="0.45">
      <c r="C198" s="1008"/>
      <c r="D198" s="8"/>
      <c r="E198" s="1011"/>
      <c r="F198" s="106">
        <v>500</v>
      </c>
      <c r="G198" s="77">
        <v>3.8232082060192987</v>
      </c>
      <c r="H198" s="77">
        <v>3.8577437886015638</v>
      </c>
      <c r="I198" s="77">
        <v>3.892328325850162</v>
      </c>
      <c r="J198" s="77">
        <v>3.926961817765092</v>
      </c>
      <c r="K198" s="77">
        <v>3.9616442643463552</v>
      </c>
      <c r="L198" s="77">
        <v>3.9963756655939502</v>
      </c>
      <c r="M198" s="77">
        <v>4.0311560215078774</v>
      </c>
      <c r="N198" s="77">
        <v>4.0659853320881378</v>
      </c>
      <c r="O198" s="77">
        <v>4.1008635973347305</v>
      </c>
      <c r="P198" s="77">
        <v>4.1357908172476563</v>
      </c>
      <c r="Q198" s="77">
        <v>4.1707669918269135</v>
      </c>
      <c r="R198" s="77">
        <v>4.5232212442677753</v>
      </c>
      <c r="S198" s="77">
        <v>5.2428161490492435</v>
      </c>
      <c r="T198" s="77">
        <v>5.9819929203637017</v>
      </c>
      <c r="U198" s="77">
        <v>6.7407515582111515</v>
      </c>
      <c r="V198" s="77">
        <v>7.5190920625915911</v>
      </c>
      <c r="W198" s="80">
        <v>8.3170144335050207</v>
      </c>
    </row>
    <row r="199" spans="3:23" x14ac:dyDescent="0.45">
      <c r="C199" s="1008"/>
      <c r="D199" s="8"/>
      <c r="E199" s="1011"/>
      <c r="F199" s="106">
        <v>600</v>
      </c>
      <c r="G199" s="77">
        <v>3.8835797010282169</v>
      </c>
      <c r="H199" s="77">
        <v>3.9186823502165886</v>
      </c>
      <c r="I199" s="77">
        <v>3.9538355569542949</v>
      </c>
      <c r="J199" s="77">
        <v>3.9890393212413366</v>
      </c>
      <c r="K199" s="77">
        <v>4.024293643077713</v>
      </c>
      <c r="L199" s="77">
        <v>4.0595985224634248</v>
      </c>
      <c r="M199" s="77">
        <v>4.0949539593984703</v>
      </c>
      <c r="N199" s="77">
        <v>4.1303599538828504</v>
      </c>
      <c r="O199" s="77">
        <v>4.1658165059165668</v>
      </c>
      <c r="P199" s="77">
        <v>4.2013236154996161</v>
      </c>
      <c r="Q199" s="77">
        <v>4.2368812826320008</v>
      </c>
      <c r="R199" s="77">
        <v>4.59523861916926</v>
      </c>
      <c r="S199" s="77">
        <v>5.3271205570442088</v>
      </c>
      <c r="T199" s="77">
        <v>6.0792255146530616</v>
      </c>
      <c r="U199" s="77">
        <v>6.8515534919958174</v>
      </c>
      <c r="V199" s="77">
        <v>7.644104489072479</v>
      </c>
      <c r="W199" s="80">
        <v>8.4568785058830436</v>
      </c>
    </row>
    <row r="200" spans="3:23" x14ac:dyDescent="0.45">
      <c r="C200" s="1008"/>
      <c r="D200" s="8"/>
      <c r="E200" s="1011"/>
      <c r="F200" s="106">
        <v>700</v>
      </c>
      <c r="G200" s="77">
        <v>3.9439511960371338</v>
      </c>
      <c r="H200" s="77">
        <v>3.9796209118316122</v>
      </c>
      <c r="I200" s="77">
        <v>4.0153427880584278</v>
      </c>
      <c r="J200" s="77">
        <v>4.0511168247175808</v>
      </c>
      <c r="K200" s="77">
        <v>4.0869430218090717</v>
      </c>
      <c r="L200" s="77">
        <v>4.1228213793328976</v>
      </c>
      <c r="M200" s="77">
        <v>4.1587518972890614</v>
      </c>
      <c r="N200" s="77">
        <v>4.194734575677562</v>
      </c>
      <c r="O200" s="77">
        <v>4.2307694144984005</v>
      </c>
      <c r="P200" s="77">
        <v>4.2668564137515759</v>
      </c>
      <c r="Q200" s="77">
        <v>4.3029955734370873</v>
      </c>
      <c r="R200" s="77">
        <v>4.6672559940707448</v>
      </c>
      <c r="S200" s="77">
        <v>5.411424965039175</v>
      </c>
      <c r="T200" s="77">
        <v>6.1764581089424215</v>
      </c>
      <c r="U200" s="77">
        <v>6.9623554257804852</v>
      </c>
      <c r="V200" s="77">
        <v>7.7691169155533686</v>
      </c>
      <c r="W200" s="80">
        <v>8.5967425782610647</v>
      </c>
    </row>
    <row r="201" spans="3:23" x14ac:dyDescent="0.45">
      <c r="C201" s="1008"/>
      <c r="D201" s="8"/>
      <c r="E201" s="1011"/>
      <c r="F201" s="106">
        <v>800</v>
      </c>
      <c r="G201" s="77">
        <v>4.0043226910460525</v>
      </c>
      <c r="H201" s="77">
        <v>4.0405594734466375</v>
      </c>
      <c r="I201" s="77">
        <v>4.0768500191625616</v>
      </c>
      <c r="J201" s="77">
        <v>4.1131943281938259</v>
      </c>
      <c r="K201" s="77">
        <v>4.1495924005404294</v>
      </c>
      <c r="L201" s="77">
        <v>4.1860442362023713</v>
      </c>
      <c r="M201" s="77">
        <v>4.2225498351796533</v>
      </c>
      <c r="N201" s="77">
        <v>4.2591091974722746</v>
      </c>
      <c r="O201" s="77">
        <v>4.2957223230802359</v>
      </c>
      <c r="P201" s="77">
        <v>4.3323892120035357</v>
      </c>
      <c r="Q201" s="77">
        <v>4.3691098642421746</v>
      </c>
      <c r="R201" s="77">
        <v>4.7392733689722304</v>
      </c>
      <c r="S201" s="77">
        <v>5.4957293730341403</v>
      </c>
      <c r="T201" s="77">
        <v>6.2736907032317806</v>
      </c>
      <c r="U201" s="77">
        <v>7.0731573595651529</v>
      </c>
      <c r="V201" s="77">
        <v>7.8941293420342564</v>
      </c>
      <c r="W201" s="80">
        <v>8.7366066506390911</v>
      </c>
    </row>
    <row r="202" spans="3:23" ht="14.65" thickBot="1" x14ac:dyDescent="0.5">
      <c r="C202" s="1008"/>
      <c r="D202" s="8"/>
      <c r="E202" s="1012"/>
      <c r="F202" s="909">
        <v>900</v>
      </c>
      <c r="G202" s="78">
        <v>4.0646941860549699</v>
      </c>
      <c r="H202" s="78">
        <v>4.1014980350616614</v>
      </c>
      <c r="I202" s="78">
        <v>4.1383572502666954</v>
      </c>
      <c r="J202" s="78">
        <v>4.1752718316700701</v>
      </c>
      <c r="K202" s="78">
        <v>4.2122417792717872</v>
      </c>
      <c r="L202" s="78">
        <v>4.249267093071845</v>
      </c>
      <c r="M202" s="78">
        <v>4.2863477730702453</v>
      </c>
      <c r="N202" s="78">
        <v>4.323483819266988</v>
      </c>
      <c r="O202" s="78">
        <v>4.3606752316620705</v>
      </c>
      <c r="P202" s="78">
        <v>4.3979220102554955</v>
      </c>
      <c r="Q202" s="78">
        <v>4.435224155047262</v>
      </c>
      <c r="R202" s="78">
        <v>4.8112907438737151</v>
      </c>
      <c r="S202" s="78">
        <v>5.5800337810291056</v>
      </c>
      <c r="T202" s="78">
        <v>6.3709232975211414</v>
      </c>
      <c r="U202" s="78">
        <v>7.1839592933498206</v>
      </c>
      <c r="V202" s="78">
        <v>8.0191417685151443</v>
      </c>
      <c r="W202" s="81">
        <v>8.876470723017114</v>
      </c>
    </row>
    <row r="203" spans="3:23" ht="14.65" thickBot="1" x14ac:dyDescent="0.5">
      <c r="C203" s="1008"/>
      <c r="D203" s="8"/>
      <c r="G203" s="834"/>
      <c r="H203" s="834"/>
      <c r="I203" s="834"/>
      <c r="J203" s="834"/>
      <c r="K203" s="834"/>
      <c r="L203" s="834"/>
      <c r="M203" s="834"/>
      <c r="N203" s="834"/>
      <c r="O203" s="834"/>
      <c r="P203" s="834"/>
      <c r="Q203" s="834"/>
      <c r="R203" s="834"/>
      <c r="S203" s="834"/>
      <c r="T203" s="834"/>
      <c r="U203" s="834"/>
      <c r="V203" s="834"/>
      <c r="W203" s="834"/>
    </row>
    <row r="204" spans="3:23" ht="14.65" thickBot="1" x14ac:dyDescent="0.5">
      <c r="C204" s="1008"/>
      <c r="D204" s="911" t="s">
        <v>343</v>
      </c>
      <c r="E204" s="37"/>
      <c r="F204" s="37" t="s">
        <v>408</v>
      </c>
      <c r="G204" s="926">
        <v>0</v>
      </c>
      <c r="H204" s="927">
        <v>10</v>
      </c>
      <c r="I204" s="927">
        <v>20</v>
      </c>
      <c r="J204" s="927">
        <v>30</v>
      </c>
      <c r="K204" s="927">
        <v>40</v>
      </c>
      <c r="L204" s="927">
        <v>50</v>
      </c>
      <c r="M204" s="927">
        <v>60</v>
      </c>
      <c r="N204" s="927">
        <v>70</v>
      </c>
      <c r="O204" s="927">
        <v>80</v>
      </c>
      <c r="P204" s="927">
        <v>90</v>
      </c>
      <c r="Q204" s="927">
        <v>100</v>
      </c>
      <c r="R204" s="927">
        <v>200</v>
      </c>
      <c r="S204" s="927">
        <v>400</v>
      </c>
      <c r="T204" s="927">
        <v>600</v>
      </c>
      <c r="U204" s="927">
        <v>800</v>
      </c>
      <c r="V204" s="927">
        <v>1000</v>
      </c>
      <c r="W204" s="928">
        <v>1200</v>
      </c>
    </row>
    <row r="205" spans="3:23" x14ac:dyDescent="0.45">
      <c r="C205" s="1008"/>
      <c r="D205" s="920"/>
      <c r="E205" s="1010" t="s">
        <v>407</v>
      </c>
      <c r="F205" s="910">
        <v>0</v>
      </c>
      <c r="G205" s="923">
        <v>3.7974526506018011</v>
      </c>
      <c r="H205" s="923">
        <v>3.8793530465117696</v>
      </c>
      <c r="I205" s="923">
        <v>3.9615735563379064</v>
      </c>
      <c r="J205" s="923">
        <v>4.0441146933836745</v>
      </c>
      <c r="K205" s="923">
        <v>4.1269769709525397</v>
      </c>
      <c r="L205" s="923">
        <v>4.2101609023479654</v>
      </c>
      <c r="M205" s="923">
        <v>4.2936670008734197</v>
      </c>
      <c r="N205" s="923">
        <v>4.3774957798323646</v>
      </c>
      <c r="O205" s="923">
        <v>4.4616477525282656</v>
      </c>
      <c r="P205" s="923">
        <v>4.5461234322645865</v>
      </c>
      <c r="Q205" s="923">
        <v>4.6309233323447945</v>
      </c>
      <c r="R205" s="76">
        <v>5.4968673788228157</v>
      </c>
      <c r="S205" s="76">
        <v>7.3282287798429939</v>
      </c>
      <c r="T205" s="76">
        <v>9.2956432813804213</v>
      </c>
      <c r="U205" s="76">
        <v>11.403217311153195</v>
      </c>
      <c r="V205" s="76">
        <v>13.655057296879402</v>
      </c>
      <c r="W205" s="79">
        <v>16.055269666277127</v>
      </c>
    </row>
    <row r="206" spans="3:23" x14ac:dyDescent="0.45">
      <c r="C206" s="1008"/>
      <c r="D206" s="920"/>
      <c r="E206" s="1011"/>
      <c r="F206" s="106">
        <v>10</v>
      </c>
      <c r="G206" s="77">
        <v>3.8041001902133207</v>
      </c>
      <c r="H206" s="77">
        <v>3.8860576751766471</v>
      </c>
      <c r="I206" s="77">
        <v>3.9683354319937552</v>
      </c>
      <c r="J206" s="77">
        <v>4.0509339739681085</v>
      </c>
      <c r="K206" s="77">
        <v>4.1338538144031736</v>
      </c>
      <c r="L206" s="77">
        <v>4.2170954666024141</v>
      </c>
      <c r="M206" s="77">
        <v>4.3006594438692938</v>
      </c>
      <c r="N206" s="77">
        <v>4.3845462595072799</v>
      </c>
      <c r="O206" s="77">
        <v>4.4687564268198354</v>
      </c>
      <c r="P206" s="77">
        <v>4.5532904591104257</v>
      </c>
      <c r="Q206" s="77">
        <v>4.6381488696825155</v>
      </c>
      <c r="R206" s="77">
        <v>5.5046867076481192</v>
      </c>
      <c r="S206" s="77">
        <v>7.3372830729276046</v>
      </c>
      <c r="T206" s="77">
        <v>9.3059957137698675</v>
      </c>
      <c r="U206" s="77">
        <v>11.414931057892998</v>
      </c>
      <c r="V206" s="77">
        <v>13.668195533015087</v>
      </c>
      <c r="W206" s="80">
        <v>16.069895566854218</v>
      </c>
    </row>
    <row r="207" spans="3:23" x14ac:dyDescent="0.45">
      <c r="C207" s="1008"/>
      <c r="D207" s="920"/>
      <c r="E207" s="1011"/>
      <c r="F207" s="106">
        <v>20</v>
      </c>
      <c r="G207" s="77">
        <v>3.8107477298248398</v>
      </c>
      <c r="H207" s="924">
        <v>3.8927623038415242</v>
      </c>
      <c r="I207" s="77">
        <v>3.9750973076496043</v>
      </c>
      <c r="J207" s="77">
        <v>4.0577532545525443</v>
      </c>
      <c r="K207" s="77">
        <v>4.1407306578538075</v>
      </c>
      <c r="L207" s="77">
        <v>4.224030030856861</v>
      </c>
      <c r="M207" s="77">
        <v>4.3076518868651688</v>
      </c>
      <c r="N207" s="77">
        <v>4.3915967391821953</v>
      </c>
      <c r="O207" s="77">
        <v>4.4758651011114061</v>
      </c>
      <c r="P207" s="77">
        <v>4.5604574859562641</v>
      </c>
      <c r="Q207" s="77">
        <v>4.6453744070202356</v>
      </c>
      <c r="R207" s="77">
        <v>5.5125060364734217</v>
      </c>
      <c r="S207" s="77">
        <v>7.346337366012218</v>
      </c>
      <c r="T207" s="77">
        <v>9.3163481461593118</v>
      </c>
      <c r="U207" s="77">
        <v>11.426644804632801</v>
      </c>
      <c r="V207" s="77">
        <v>13.681333769150768</v>
      </c>
      <c r="W207" s="80">
        <v>16.084521467431308</v>
      </c>
    </row>
    <row r="208" spans="3:23" x14ac:dyDescent="0.45">
      <c r="C208" s="1008"/>
      <c r="D208" s="920"/>
      <c r="E208" s="1011"/>
      <c r="F208" s="106">
        <v>30</v>
      </c>
      <c r="G208" s="77">
        <v>3.8173952694363589</v>
      </c>
      <c r="H208" s="77">
        <v>3.8994669325064013</v>
      </c>
      <c r="I208" s="77">
        <v>3.9818591833054531</v>
      </c>
      <c r="J208" s="77">
        <v>4.0645725351369784</v>
      </c>
      <c r="K208" s="77">
        <v>4.1476075013044422</v>
      </c>
      <c r="L208" s="77">
        <v>4.2309645951113088</v>
      </c>
      <c r="M208" s="77">
        <v>4.3146443298610428</v>
      </c>
      <c r="N208" s="77">
        <v>4.3986472188571106</v>
      </c>
      <c r="O208" s="77">
        <v>4.482973775402975</v>
      </c>
      <c r="P208" s="77">
        <v>4.5676245128021025</v>
      </c>
      <c r="Q208" s="77">
        <v>4.6525999443579558</v>
      </c>
      <c r="R208" s="77">
        <v>5.5203253652987261</v>
      </c>
      <c r="S208" s="77">
        <v>7.3553916590968296</v>
      </c>
      <c r="T208" s="77">
        <v>9.3267005785487562</v>
      </c>
      <c r="U208" s="77">
        <v>11.438358551372602</v>
      </c>
      <c r="V208" s="77">
        <v>13.694472005286455</v>
      </c>
      <c r="W208" s="80">
        <v>16.099147368008399</v>
      </c>
    </row>
    <row r="209" spans="3:23" x14ac:dyDescent="0.45">
      <c r="C209" s="1008"/>
      <c r="D209" s="920"/>
      <c r="E209" s="1011"/>
      <c r="F209" s="106">
        <v>40</v>
      </c>
      <c r="G209" s="77">
        <v>3.824042809047878</v>
      </c>
      <c r="H209" s="77">
        <v>3.9061715611712788</v>
      </c>
      <c r="I209" s="77">
        <v>3.9886210589613023</v>
      </c>
      <c r="J209" s="77">
        <v>4.0713918157214124</v>
      </c>
      <c r="K209" s="77">
        <v>4.1544843447550761</v>
      </c>
      <c r="L209" s="77">
        <v>4.2378991593657558</v>
      </c>
      <c r="M209" s="77">
        <v>4.3216367728569178</v>
      </c>
      <c r="N209" s="77">
        <v>4.4056976985320251</v>
      </c>
      <c r="O209" s="77">
        <v>4.4900824496945457</v>
      </c>
      <c r="P209" s="77">
        <v>4.5747915396479408</v>
      </c>
      <c r="Q209" s="77">
        <v>4.6598254816956768</v>
      </c>
      <c r="R209" s="77">
        <v>5.5281446941240286</v>
      </c>
      <c r="S209" s="77">
        <v>7.3644459521814394</v>
      </c>
      <c r="T209" s="77">
        <v>9.3370530109382024</v>
      </c>
      <c r="U209" s="77">
        <v>11.450072298112405</v>
      </c>
      <c r="V209" s="77">
        <v>13.707610241422138</v>
      </c>
      <c r="W209" s="80">
        <v>16.11377326858549</v>
      </c>
    </row>
    <row r="210" spans="3:23" x14ac:dyDescent="0.45">
      <c r="C210" s="1008"/>
      <c r="D210" s="920"/>
      <c r="E210" s="1011"/>
      <c r="F210" s="106">
        <v>50</v>
      </c>
      <c r="G210" s="77">
        <v>3.8306903486593971</v>
      </c>
      <c r="H210" s="77">
        <v>3.9128761898361559</v>
      </c>
      <c r="I210" s="77">
        <v>3.995382934617151</v>
      </c>
      <c r="J210" s="77">
        <v>4.0782110963058473</v>
      </c>
      <c r="K210" s="77">
        <v>4.16136118820571</v>
      </c>
      <c r="L210" s="77">
        <v>4.2448337236202036</v>
      </c>
      <c r="M210" s="77">
        <v>4.3286292158527919</v>
      </c>
      <c r="N210" s="77">
        <v>4.4127481782069404</v>
      </c>
      <c r="O210" s="77">
        <v>4.4971911239861146</v>
      </c>
      <c r="P210" s="77">
        <v>4.5819585664937792</v>
      </c>
      <c r="Q210" s="77">
        <v>4.6670510190333978</v>
      </c>
      <c r="R210" s="77">
        <v>5.5359640229493321</v>
      </c>
      <c r="S210" s="77">
        <v>7.373500245266051</v>
      </c>
      <c r="T210" s="77">
        <v>9.3474054433276468</v>
      </c>
      <c r="U210" s="77">
        <v>11.461786044852207</v>
      </c>
      <c r="V210" s="77">
        <v>13.720748477557825</v>
      </c>
      <c r="W210" s="80">
        <v>16.128399169162581</v>
      </c>
    </row>
    <row r="211" spans="3:23" x14ac:dyDescent="0.45">
      <c r="C211" s="1008"/>
      <c r="D211" s="920"/>
      <c r="E211" s="1011"/>
      <c r="F211" s="106">
        <v>60</v>
      </c>
      <c r="G211" s="77">
        <v>3.8373378882709166</v>
      </c>
      <c r="H211" s="77">
        <v>3.919580818501033</v>
      </c>
      <c r="I211" s="77">
        <v>4.0021448102730002</v>
      </c>
      <c r="J211" s="77">
        <v>4.0850303768902823</v>
      </c>
      <c r="K211" s="77">
        <v>4.1682380316563439</v>
      </c>
      <c r="L211" s="77">
        <v>4.2517682878746506</v>
      </c>
      <c r="M211" s="77">
        <v>4.335621658848666</v>
      </c>
      <c r="N211" s="77">
        <v>4.4197986578818558</v>
      </c>
      <c r="O211" s="77">
        <v>4.5042997982776853</v>
      </c>
      <c r="P211" s="77">
        <v>4.5891255933396176</v>
      </c>
      <c r="Q211" s="77">
        <v>4.6742765563711188</v>
      </c>
      <c r="R211" s="77">
        <v>5.5437833517746355</v>
      </c>
      <c r="S211" s="77">
        <v>7.3825545383506643</v>
      </c>
      <c r="T211" s="77">
        <v>9.3577578757170912</v>
      </c>
      <c r="U211" s="77">
        <v>11.473499791592008</v>
      </c>
      <c r="V211" s="77">
        <v>13.733886713693506</v>
      </c>
      <c r="W211" s="80">
        <v>16.143025069739672</v>
      </c>
    </row>
    <row r="212" spans="3:23" x14ac:dyDescent="0.45">
      <c r="C212" s="1008"/>
      <c r="D212" s="920"/>
      <c r="E212" s="1011"/>
      <c r="F212" s="106">
        <v>70</v>
      </c>
      <c r="G212" s="77">
        <v>3.8439854278824361</v>
      </c>
      <c r="H212" s="77">
        <v>3.9262854471659105</v>
      </c>
      <c r="I212" s="77">
        <v>4.0089066859288494</v>
      </c>
      <c r="J212" s="77">
        <v>4.0918496574747172</v>
      </c>
      <c r="K212" s="77">
        <v>4.1751148751069778</v>
      </c>
      <c r="L212" s="77">
        <v>4.2587028521290984</v>
      </c>
      <c r="M212" s="77">
        <v>4.3426141018445401</v>
      </c>
      <c r="N212" s="77">
        <v>4.4268491375567711</v>
      </c>
      <c r="O212" s="77">
        <v>4.5114084725692551</v>
      </c>
      <c r="P212" s="77">
        <v>4.5962926201854559</v>
      </c>
      <c r="Q212" s="77">
        <v>4.681502093708839</v>
      </c>
      <c r="R212" s="77">
        <v>5.5516026805999381</v>
      </c>
      <c r="S212" s="77">
        <v>7.391608831435275</v>
      </c>
      <c r="T212" s="77">
        <v>9.3681103081065373</v>
      </c>
      <c r="U212" s="77">
        <v>11.485213538331811</v>
      </c>
      <c r="V212" s="77">
        <v>13.747024949829193</v>
      </c>
      <c r="W212" s="80">
        <v>16.157650970316762</v>
      </c>
    </row>
    <row r="213" spans="3:23" x14ac:dyDescent="0.45">
      <c r="C213" s="1008"/>
      <c r="D213" s="920"/>
      <c r="E213" s="1011"/>
      <c r="F213" s="106">
        <v>80</v>
      </c>
      <c r="G213" s="77">
        <v>3.8506329674939552</v>
      </c>
      <c r="H213" s="77">
        <v>3.9329900758307881</v>
      </c>
      <c r="I213" s="77">
        <v>4.0156685615846985</v>
      </c>
      <c r="J213" s="77">
        <v>4.0986689380591521</v>
      </c>
      <c r="K213" s="77">
        <v>4.1819917185576116</v>
      </c>
      <c r="L213" s="77">
        <v>4.2656374163835453</v>
      </c>
      <c r="M213" s="77">
        <v>4.3496065448404151</v>
      </c>
      <c r="N213" s="77">
        <v>4.4338996172316865</v>
      </c>
      <c r="O213" s="77">
        <v>4.518517146860825</v>
      </c>
      <c r="P213" s="77">
        <v>4.6034596470312943</v>
      </c>
      <c r="Q213" s="77">
        <v>4.6887276310465591</v>
      </c>
      <c r="R213" s="77">
        <v>5.5594220094252425</v>
      </c>
      <c r="S213" s="77">
        <v>7.4006631245198875</v>
      </c>
      <c r="T213" s="77">
        <v>9.3784627404959799</v>
      </c>
      <c r="U213" s="77">
        <v>11.496927285071614</v>
      </c>
      <c r="V213" s="77">
        <v>13.760163185964878</v>
      </c>
      <c r="W213" s="80">
        <v>16.172276870893853</v>
      </c>
    </row>
    <row r="214" spans="3:23" x14ac:dyDescent="0.45">
      <c r="C214" s="1008"/>
      <c r="D214" s="920"/>
      <c r="E214" s="1011"/>
      <c r="F214" s="106">
        <v>90</v>
      </c>
      <c r="G214" s="77">
        <v>3.8572805071054743</v>
      </c>
      <c r="H214" s="77">
        <v>3.9396947044956647</v>
      </c>
      <c r="I214" s="77">
        <v>4.0224304372405477</v>
      </c>
      <c r="J214" s="77">
        <v>4.1054882186435862</v>
      </c>
      <c r="K214" s="77">
        <v>4.1888685620082464</v>
      </c>
      <c r="L214" s="77">
        <v>4.2725719806379931</v>
      </c>
      <c r="M214" s="77">
        <v>4.3565989878362892</v>
      </c>
      <c r="N214" s="77">
        <v>4.4409500969066018</v>
      </c>
      <c r="O214" s="77">
        <v>4.5256258211523948</v>
      </c>
      <c r="P214" s="77">
        <v>4.6106266738771327</v>
      </c>
      <c r="Q214" s="77">
        <v>4.6959531683842801</v>
      </c>
      <c r="R214" s="77">
        <v>5.567241338250545</v>
      </c>
      <c r="S214" s="77">
        <v>7.4097174176044991</v>
      </c>
      <c r="T214" s="77">
        <v>9.3888151728854243</v>
      </c>
      <c r="U214" s="77">
        <v>11.508641031811415</v>
      </c>
      <c r="V214" s="77">
        <v>13.773301422100561</v>
      </c>
      <c r="W214" s="80">
        <v>16.186902771470944</v>
      </c>
    </row>
    <row r="215" spans="3:23" ht="15" customHeight="1" x14ac:dyDescent="0.45">
      <c r="C215" s="1008"/>
      <c r="D215" s="8"/>
      <c r="E215" s="1011"/>
      <c r="F215" s="106">
        <v>100</v>
      </c>
      <c r="G215" s="77">
        <v>3.8639280467169939</v>
      </c>
      <c r="H215" s="77">
        <v>3.9463993331605423</v>
      </c>
      <c r="I215" s="77">
        <v>4.0291923128963969</v>
      </c>
      <c r="J215" s="77">
        <v>4.1123074992280211</v>
      </c>
      <c r="K215" s="77">
        <v>4.1957454054588803</v>
      </c>
      <c r="L215" s="77">
        <v>4.2795065448924401</v>
      </c>
      <c r="M215" s="77">
        <v>4.3635914308321642</v>
      </c>
      <c r="N215" s="77">
        <v>4.4480005765815172</v>
      </c>
      <c r="O215" s="77">
        <v>4.5327344954439646</v>
      </c>
      <c r="P215" s="77">
        <v>4.617793700722971</v>
      </c>
      <c r="Q215" s="77">
        <v>4.7031787057220011</v>
      </c>
      <c r="R215" s="77">
        <v>5.5750606670758485</v>
      </c>
      <c r="S215" s="77">
        <v>7.4187717106891107</v>
      </c>
      <c r="T215" s="77">
        <v>9.3991676052748687</v>
      </c>
      <c r="U215" s="77">
        <v>11.520354778551217</v>
      </c>
      <c r="V215" s="77">
        <v>13.786439658236242</v>
      </c>
      <c r="W215" s="80">
        <v>16.201528672048035</v>
      </c>
    </row>
    <row r="216" spans="3:23" x14ac:dyDescent="0.45">
      <c r="C216" s="1008"/>
      <c r="D216" s="8"/>
      <c r="E216" s="1011"/>
      <c r="F216" s="106">
        <v>200</v>
      </c>
      <c r="G216" s="77">
        <v>3.9304034428321861</v>
      </c>
      <c r="H216" s="77">
        <v>4.013445619809314</v>
      </c>
      <c r="I216" s="77">
        <v>4.0968110694548869</v>
      </c>
      <c r="J216" s="77">
        <v>4.1805003050723677</v>
      </c>
      <c r="K216" s="77">
        <v>4.2645138399652218</v>
      </c>
      <c r="L216" s="77">
        <v>4.348852187436913</v>
      </c>
      <c r="M216" s="77">
        <v>4.4335158607909078</v>
      </c>
      <c r="N216" s="77">
        <v>4.5185053733306688</v>
      </c>
      <c r="O216" s="77">
        <v>4.6038212383596644</v>
      </c>
      <c r="P216" s="77">
        <v>4.6894639691813556</v>
      </c>
      <c r="Q216" s="77">
        <v>4.7754340790992078</v>
      </c>
      <c r="R216" s="77">
        <v>5.6532539553288812</v>
      </c>
      <c r="S216" s="77">
        <v>7.5093146415352274</v>
      </c>
      <c r="T216" s="77">
        <v>9.5026919291693179</v>
      </c>
      <c r="U216" s="77">
        <v>11.63749224594924</v>
      </c>
      <c r="V216" s="77">
        <v>13.917822019593086</v>
      </c>
      <c r="W216" s="80">
        <v>16.347787677818943</v>
      </c>
    </row>
    <row r="217" spans="3:23" x14ac:dyDescent="0.45">
      <c r="C217" s="1008"/>
      <c r="D217" s="8"/>
      <c r="E217" s="1011"/>
      <c r="F217" s="106">
        <v>300</v>
      </c>
      <c r="G217" s="77">
        <v>3.9968788389473784</v>
      </c>
      <c r="H217" s="77">
        <v>4.0804919064580876</v>
      </c>
      <c r="I217" s="77">
        <v>4.164429826013377</v>
      </c>
      <c r="J217" s="77">
        <v>4.2486931109167143</v>
      </c>
      <c r="K217" s="77">
        <v>4.3332822744715616</v>
      </c>
      <c r="L217" s="77">
        <v>4.418197829981386</v>
      </c>
      <c r="M217" s="77">
        <v>4.5034402907496514</v>
      </c>
      <c r="N217" s="77">
        <v>4.5890101700798214</v>
      </c>
      <c r="O217" s="77">
        <v>4.6749079812753624</v>
      </c>
      <c r="P217" s="77">
        <v>4.7611342376397383</v>
      </c>
      <c r="Q217" s="77">
        <v>4.8476894524764145</v>
      </c>
      <c r="R217" s="77">
        <v>5.731447243581913</v>
      </c>
      <c r="S217" s="77">
        <v>7.5998575723813451</v>
      </c>
      <c r="T217" s="77">
        <v>9.6062162530637636</v>
      </c>
      <c r="U217" s="77">
        <v>11.75462971334726</v>
      </c>
      <c r="V217" s="77">
        <v>14.049204380949927</v>
      </c>
      <c r="W217" s="80">
        <v>16.494046683589847</v>
      </c>
    </row>
    <row r="218" spans="3:23" x14ac:dyDescent="0.45">
      <c r="C218" s="1008"/>
      <c r="D218" s="8"/>
      <c r="E218" s="1011"/>
      <c r="F218" s="106">
        <v>400</v>
      </c>
      <c r="G218" s="77">
        <v>4.0633542350625707</v>
      </c>
      <c r="H218" s="77">
        <v>4.1475381931068593</v>
      </c>
      <c r="I218" s="77">
        <v>4.2320485825718679</v>
      </c>
      <c r="J218" s="77">
        <v>4.3168859167610609</v>
      </c>
      <c r="K218" s="77">
        <v>4.4020507089779022</v>
      </c>
      <c r="L218" s="77">
        <v>4.4875434725258589</v>
      </c>
      <c r="M218" s="77">
        <v>4.5733647207083949</v>
      </c>
      <c r="N218" s="77">
        <v>4.6595149668289739</v>
      </c>
      <c r="O218" s="77">
        <v>4.7459947241910623</v>
      </c>
      <c r="P218" s="77">
        <v>4.8328045060981228</v>
      </c>
      <c r="Q218" s="77">
        <v>4.9199448258536211</v>
      </c>
      <c r="R218" s="77">
        <v>5.8096405318349458</v>
      </c>
      <c r="S218" s="77">
        <v>7.6904005032274618</v>
      </c>
      <c r="T218" s="77">
        <v>9.709740576958211</v>
      </c>
      <c r="U218" s="77">
        <v>11.871767180745282</v>
      </c>
      <c r="V218" s="77">
        <v>14.180586742306769</v>
      </c>
      <c r="W218" s="80">
        <v>16.640305689360751</v>
      </c>
    </row>
    <row r="219" spans="3:23" x14ac:dyDescent="0.45">
      <c r="C219" s="1008"/>
      <c r="D219" s="8"/>
      <c r="E219" s="1011"/>
      <c r="F219" s="106">
        <v>500</v>
      </c>
      <c r="G219" s="77">
        <v>4.1298296311777634</v>
      </c>
      <c r="H219" s="77">
        <v>4.2145844797556311</v>
      </c>
      <c r="I219" s="77">
        <v>4.2996673391303588</v>
      </c>
      <c r="J219" s="77">
        <v>4.3850787226054067</v>
      </c>
      <c r="K219" s="77">
        <v>4.4708191434842437</v>
      </c>
      <c r="L219" s="77">
        <v>4.5568891150703319</v>
      </c>
      <c r="M219" s="77">
        <v>4.6432891506671385</v>
      </c>
      <c r="N219" s="77">
        <v>4.7300197635781256</v>
      </c>
      <c r="O219" s="77">
        <v>4.8170814671067603</v>
      </c>
      <c r="P219" s="77">
        <v>4.9044747745565065</v>
      </c>
      <c r="Q219" s="77">
        <v>4.9922001992308278</v>
      </c>
      <c r="R219" s="77">
        <v>5.8878338200879776</v>
      </c>
      <c r="S219" s="77">
        <v>7.7809434340735777</v>
      </c>
      <c r="T219" s="77">
        <v>9.8132649008526585</v>
      </c>
      <c r="U219" s="77">
        <v>11.988904648143304</v>
      </c>
      <c r="V219" s="77">
        <v>14.311969103663611</v>
      </c>
      <c r="W219" s="80">
        <v>16.786564695131659</v>
      </c>
    </row>
    <row r="220" spans="3:23" x14ac:dyDescent="0.45">
      <c r="C220" s="1008"/>
      <c r="D220" s="8"/>
      <c r="E220" s="1011"/>
      <c r="F220" s="106">
        <v>600</v>
      </c>
      <c r="G220" s="77">
        <v>4.1963050272929561</v>
      </c>
      <c r="H220" s="77">
        <v>4.2816307664044047</v>
      </c>
      <c r="I220" s="77">
        <v>4.3672860956888488</v>
      </c>
      <c r="J220" s="77">
        <v>4.4532715284497533</v>
      </c>
      <c r="K220" s="77">
        <v>4.5395875779905843</v>
      </c>
      <c r="L220" s="77">
        <v>4.6262347576148066</v>
      </c>
      <c r="M220" s="77">
        <v>4.7132135806258821</v>
      </c>
      <c r="N220" s="77">
        <v>4.8005245603272781</v>
      </c>
      <c r="O220" s="77">
        <v>4.8881682100224602</v>
      </c>
      <c r="P220" s="77">
        <v>4.9761450430148901</v>
      </c>
      <c r="Q220" s="77">
        <v>5.0644555726080345</v>
      </c>
      <c r="R220" s="77">
        <v>5.9660271083410095</v>
      </c>
      <c r="S220" s="77">
        <v>7.8714863649196953</v>
      </c>
      <c r="T220" s="77">
        <v>9.9167892247471041</v>
      </c>
      <c r="U220" s="77">
        <v>12.106042115541324</v>
      </c>
      <c r="V220" s="77">
        <v>14.44335146502045</v>
      </c>
      <c r="W220" s="80">
        <v>16.932823700902567</v>
      </c>
    </row>
    <row r="221" spans="3:23" x14ac:dyDescent="0.45">
      <c r="C221" s="1008"/>
      <c r="D221" s="8"/>
      <c r="E221" s="1011"/>
      <c r="F221" s="106">
        <v>700</v>
      </c>
      <c r="G221" s="77">
        <v>4.2627804234081488</v>
      </c>
      <c r="H221" s="77">
        <v>4.3486770530531764</v>
      </c>
      <c r="I221" s="77">
        <v>4.4349048522473389</v>
      </c>
      <c r="J221" s="77">
        <v>4.5214643342940999</v>
      </c>
      <c r="K221" s="77">
        <v>4.6083560124969249</v>
      </c>
      <c r="L221" s="77">
        <v>4.6955804001592787</v>
      </c>
      <c r="M221" s="77">
        <v>4.7831380105846257</v>
      </c>
      <c r="N221" s="77">
        <v>4.8710293570764307</v>
      </c>
      <c r="O221" s="77">
        <v>4.9592549529381582</v>
      </c>
      <c r="P221" s="77">
        <v>5.0478153114732738</v>
      </c>
      <c r="Q221" s="77">
        <v>5.1367109459852411</v>
      </c>
      <c r="R221" s="77">
        <v>6.0442203965940413</v>
      </c>
      <c r="S221" s="77">
        <v>7.9620292957658121</v>
      </c>
      <c r="T221" s="77">
        <v>10.02031354864155</v>
      </c>
      <c r="U221" s="77">
        <v>12.223179582939348</v>
      </c>
      <c r="V221" s="77">
        <v>14.574733826377294</v>
      </c>
      <c r="W221" s="80">
        <v>17.079082706673471</v>
      </c>
    </row>
    <row r="222" spans="3:23" x14ac:dyDescent="0.45">
      <c r="C222" s="1008"/>
      <c r="D222" s="8"/>
      <c r="E222" s="1011"/>
      <c r="F222" s="106">
        <v>800</v>
      </c>
      <c r="G222" s="77">
        <v>4.3292558195233406</v>
      </c>
      <c r="H222" s="77">
        <v>4.4157233397019491</v>
      </c>
      <c r="I222" s="77">
        <v>4.5025236088058298</v>
      </c>
      <c r="J222" s="77">
        <v>4.5896571401384474</v>
      </c>
      <c r="K222" s="77">
        <v>4.6771244470032665</v>
      </c>
      <c r="L222" s="77">
        <v>4.7649260427037516</v>
      </c>
      <c r="M222" s="77">
        <v>4.8530624405433693</v>
      </c>
      <c r="N222" s="77">
        <v>4.9415341538255824</v>
      </c>
      <c r="O222" s="77">
        <v>5.0303416958538572</v>
      </c>
      <c r="P222" s="77">
        <v>5.1194855799316574</v>
      </c>
      <c r="Q222" s="77">
        <v>5.2089663193624478</v>
      </c>
      <c r="R222" s="77">
        <v>6.122413684847074</v>
      </c>
      <c r="S222" s="77">
        <v>8.0525722266119306</v>
      </c>
      <c r="T222" s="77">
        <v>10.123837872535999</v>
      </c>
      <c r="U222" s="77">
        <v>12.340317050337369</v>
      </c>
      <c r="V222" s="77">
        <v>14.706116187734136</v>
      </c>
      <c r="W222" s="80">
        <v>17.225341712444379</v>
      </c>
    </row>
    <row r="223" spans="3:23" ht="14.65" thickBot="1" x14ac:dyDescent="0.5">
      <c r="C223" s="1009"/>
      <c r="D223" s="8"/>
      <c r="E223" s="1012"/>
      <c r="F223" s="909">
        <v>900</v>
      </c>
      <c r="G223" s="78">
        <v>4.3957312156385333</v>
      </c>
      <c r="H223" s="78">
        <v>4.4827696263507217</v>
      </c>
      <c r="I223" s="78">
        <v>4.5701423653643198</v>
      </c>
      <c r="J223" s="78">
        <v>4.6578499459827931</v>
      </c>
      <c r="K223" s="78">
        <v>4.7458928815096071</v>
      </c>
      <c r="L223" s="78">
        <v>4.8342716852482246</v>
      </c>
      <c r="M223" s="78">
        <v>4.9229868705021129</v>
      </c>
      <c r="N223" s="78">
        <v>5.0120389505747358</v>
      </c>
      <c r="O223" s="78">
        <v>5.1014284387695561</v>
      </c>
      <c r="P223" s="78">
        <v>5.1911558483900411</v>
      </c>
      <c r="Q223" s="78">
        <v>5.2812216927396545</v>
      </c>
      <c r="R223" s="78">
        <v>6.2006069731001068</v>
      </c>
      <c r="S223" s="78">
        <v>8.1431151574580465</v>
      </c>
      <c r="T223" s="78">
        <v>10.227362196430445</v>
      </c>
      <c r="U223" s="78">
        <v>12.457454517735393</v>
      </c>
      <c r="V223" s="78">
        <v>14.837498549090977</v>
      </c>
      <c r="W223" s="81">
        <v>17.371600718215284</v>
      </c>
    </row>
    <row r="224" spans="3:23" ht="14.65" thickBot="1" x14ac:dyDescent="0.5"/>
    <row r="225" spans="4:23" ht="14.65" thickBot="1" x14ac:dyDescent="0.5">
      <c r="D225" s="60" t="s">
        <v>415</v>
      </c>
      <c r="G225" s="930">
        <v>133.94390386192117</v>
      </c>
      <c r="H225" s="931">
        <v>134.55220387106164</v>
      </c>
      <c r="I225" s="931">
        <v>135.12641940373885</v>
      </c>
      <c r="J225" s="931">
        <v>135.66943137400722</v>
      </c>
      <c r="K225" s="931">
        <v>136.18380939902715</v>
      </c>
      <c r="L225" s="931">
        <v>136.67185294933199</v>
      </c>
      <c r="M225" s="931">
        <v>137.13562607479798</v>
      </c>
      <c r="N225" s="931">
        <v>137.5769868576628</v>
      </c>
      <c r="O225" s="931">
        <v>137.99761251225607</v>
      </c>
      <c r="P225" s="931">
        <v>138.39902087087006</v>
      </c>
      <c r="Q225" s="931">
        <v>138.78258885398682</v>
      </c>
      <c r="R225" s="931">
        <v>141.86570916112282</v>
      </c>
      <c r="S225" s="931">
        <v>145.7320151216897</v>
      </c>
      <c r="T225" s="931">
        <v>148.26160717395078</v>
      </c>
      <c r="U225" s="931">
        <v>150.2124860323471</v>
      </c>
      <c r="V225" s="931">
        <v>151.86366834707223</v>
      </c>
      <c r="W225" s="932">
        <v>153.33587161995564</v>
      </c>
    </row>
    <row r="233" spans="4:23" s="912" customFormat="1" ht="7.5" customHeight="1" x14ac:dyDescent="0.45"/>
    <row r="234" spans="4:23" ht="14.65" thickBot="1" x14ac:dyDescent="0.5"/>
    <row r="235" spans="4:23" ht="14.65" thickBot="1" x14ac:dyDescent="0.5">
      <c r="D235" s="913" t="s">
        <v>409</v>
      </c>
    </row>
    <row r="236" spans="4:23" ht="14.65" thickBot="1" x14ac:dyDescent="0.5"/>
    <row r="237" spans="4:23" ht="14.65" thickBot="1" x14ac:dyDescent="0.5">
      <c r="D237" s="60" t="s">
        <v>360</v>
      </c>
    </row>
    <row r="238" spans="4:23" ht="14.65" thickBot="1" x14ac:dyDescent="0.5"/>
    <row r="239" spans="4:23" ht="14.65" thickBot="1" x14ac:dyDescent="0.5">
      <c r="D239" s="60" t="s">
        <v>346</v>
      </c>
      <c r="J239" s="16"/>
    </row>
    <row r="240" spans="4:23" ht="14.65" thickBot="1" x14ac:dyDescent="0.5">
      <c r="J240" s="16"/>
    </row>
    <row r="241" spans="2:16" ht="14.65" thickBot="1" x14ac:dyDescent="0.5">
      <c r="D241" s="45" t="s">
        <v>347</v>
      </c>
      <c r="E241" s="842">
        <v>0</v>
      </c>
      <c r="F241" s="45" t="s">
        <v>43</v>
      </c>
      <c r="J241" s="16"/>
    </row>
    <row r="242" spans="2:16" ht="14.65" thickBot="1" x14ac:dyDescent="0.5">
      <c r="D242" s="32" t="s">
        <v>348</v>
      </c>
      <c r="E242" s="849">
        <v>100</v>
      </c>
      <c r="F242" s="32" t="s">
        <v>43</v>
      </c>
      <c r="J242" s="16"/>
    </row>
    <row r="243" spans="2:16" ht="14.65" thickBot="1" x14ac:dyDescent="0.5">
      <c r="D243" s="40" t="s">
        <v>349</v>
      </c>
      <c r="E243" s="844">
        <v>10</v>
      </c>
      <c r="F243" s="40" t="s">
        <v>43</v>
      </c>
    </row>
    <row r="244" spans="2:16" ht="14.65" thickBot="1" x14ac:dyDescent="0.5"/>
    <row r="245" spans="2:16" ht="14.65" thickBot="1" x14ac:dyDescent="0.5">
      <c r="D245" s="38" t="s">
        <v>43</v>
      </c>
      <c r="E245" s="839">
        <v>0</v>
      </c>
      <c r="F245" s="839">
        <v>10</v>
      </c>
      <c r="G245" s="839">
        <v>20</v>
      </c>
      <c r="H245" s="839">
        <v>30</v>
      </c>
      <c r="I245" s="839">
        <v>40</v>
      </c>
      <c r="J245" s="839">
        <v>50</v>
      </c>
      <c r="K245" s="839">
        <v>60</v>
      </c>
      <c r="L245" s="839">
        <v>70</v>
      </c>
      <c r="M245" s="839">
        <v>80</v>
      </c>
      <c r="N245" s="839">
        <v>90</v>
      </c>
      <c r="O245" s="840">
        <v>100</v>
      </c>
      <c r="P245" s="788"/>
    </row>
    <row r="246" spans="2:16" ht="14.65" thickBot="1" x14ac:dyDescent="0.5">
      <c r="D246" s="850" t="s">
        <v>55</v>
      </c>
      <c r="E246" s="849">
        <v>60</v>
      </c>
      <c r="F246" s="851" t="s">
        <v>30</v>
      </c>
      <c r="G246" s="1"/>
      <c r="H246" s="1"/>
      <c r="I246" s="1"/>
      <c r="J246" s="1"/>
      <c r="K246" s="1"/>
      <c r="L246" s="1"/>
      <c r="M246" s="1"/>
      <c r="N246" s="1"/>
      <c r="O246" s="1"/>
    </row>
    <row r="248" spans="2:16" ht="14.65" thickBot="1" x14ac:dyDescent="0.5"/>
    <row r="249" spans="2:16" x14ac:dyDescent="0.45">
      <c r="B249" s="998">
        <v>2035</v>
      </c>
      <c r="C249" s="1001" t="s">
        <v>345</v>
      </c>
      <c r="D249" s="45" t="s">
        <v>344</v>
      </c>
      <c r="E249" s="76">
        <v>3.5567903801774894</v>
      </c>
      <c r="F249" s="76">
        <v>3.6508510841582251</v>
      </c>
      <c r="G249" s="76">
        <v>3.7451271475350034</v>
      </c>
      <c r="H249" s="76">
        <v>3.8396185703078229</v>
      </c>
      <c r="I249" s="76">
        <v>3.9343253524766841</v>
      </c>
      <c r="J249" s="76">
        <v>4.029247494041587</v>
      </c>
      <c r="K249" s="76">
        <v>4.1243849950025311</v>
      </c>
      <c r="L249" s="76">
        <v>4.2197378553595177</v>
      </c>
      <c r="M249" s="76">
        <v>4.315306075112546</v>
      </c>
      <c r="N249" s="76">
        <v>4.4110896542616151</v>
      </c>
      <c r="O249" s="79">
        <v>4.5070885928067259</v>
      </c>
      <c r="P249" s="834"/>
    </row>
    <row r="250" spans="2:16" x14ac:dyDescent="0.45">
      <c r="B250" s="999"/>
      <c r="C250" s="1002"/>
      <c r="D250" s="34" t="s">
        <v>138</v>
      </c>
      <c r="E250" s="77">
        <v>2.6703777767079884</v>
      </c>
      <c r="F250" s="77">
        <v>2.6921397302637033</v>
      </c>
      <c r="G250" s="77">
        <v>2.7141294657876993</v>
      </c>
      <c r="H250" s="77">
        <v>2.7363289037103247</v>
      </c>
      <c r="I250" s="77">
        <v>2.7587219253365638</v>
      </c>
      <c r="J250" s="77">
        <v>2.7812941140231207</v>
      </c>
      <c r="K250" s="77">
        <v>2.8040325362966794</v>
      </c>
      <c r="L250" s="77">
        <v>2.8269255559026982</v>
      </c>
      <c r="M250" s="77">
        <v>2.8499626751460432</v>
      </c>
      <c r="N250" s="77">
        <v>2.873134398961847</v>
      </c>
      <c r="O250" s="80">
        <v>2.896432118006032</v>
      </c>
      <c r="P250" s="834"/>
    </row>
    <row r="251" spans="2:16" x14ac:dyDescent="0.45">
      <c r="B251" s="999"/>
      <c r="C251" s="1002"/>
      <c r="D251" s="34" t="s">
        <v>342</v>
      </c>
      <c r="E251" s="77">
        <v>4.1752594342705391</v>
      </c>
      <c r="F251" s="77">
        <v>4.2102481260489384</v>
      </c>
      <c r="G251" s="77">
        <v>4.2452699392558149</v>
      </c>
      <c r="H251" s="77">
        <v>4.2803244405934979</v>
      </c>
      <c r="I251" s="77">
        <v>4.3154112437589349</v>
      </c>
      <c r="J251" s="77">
        <v>4.3505300032406948</v>
      </c>
      <c r="K251" s="77">
        <v>4.3856804090732249</v>
      </c>
      <c r="L251" s="77">
        <v>4.4208621823803069</v>
      </c>
      <c r="M251" s="77">
        <v>4.456075071572613</v>
      </c>
      <c r="N251" s="77">
        <v>4.4913188490899953</v>
      </c>
      <c r="O251" s="80">
        <v>4.5265933085996286</v>
      </c>
      <c r="P251" s="834"/>
    </row>
    <row r="252" spans="2:16" ht="14.65" thickBot="1" x14ac:dyDescent="0.5">
      <c r="B252" s="999"/>
      <c r="C252" s="1003"/>
      <c r="D252" s="40" t="s">
        <v>343</v>
      </c>
      <c r="E252" s="78">
        <v>4.8404748143176688</v>
      </c>
      <c r="F252" s="78">
        <v>4.9384050685308711</v>
      </c>
      <c r="G252" s="78">
        <v>5.0365561411968223</v>
      </c>
      <c r="H252" s="78">
        <v>5.1349275990178533</v>
      </c>
      <c r="I252" s="78">
        <v>5.2335190556909073</v>
      </c>
      <c r="J252" s="78">
        <v>5.3323301657045574</v>
      </c>
      <c r="K252" s="78">
        <v>5.4313606190932484</v>
      </c>
      <c r="L252" s="78">
        <v>5.5306101369807639</v>
      </c>
      <c r="M252" s="78">
        <v>5.6300784677777749</v>
      </c>
      <c r="N252" s="78">
        <v>5.729765383924132</v>
      </c>
      <c r="O252" s="81">
        <v>5.8296706790870134</v>
      </c>
      <c r="P252" s="834"/>
    </row>
    <row r="253" spans="2:16" ht="14.65" thickBot="1" x14ac:dyDescent="0.5">
      <c r="B253" s="999"/>
      <c r="D253" s="45"/>
      <c r="P253" s="788"/>
    </row>
    <row r="254" spans="2:16" x14ac:dyDescent="0.45">
      <c r="B254" s="999"/>
      <c r="C254" s="1004" t="s">
        <v>129</v>
      </c>
      <c r="D254" s="45" t="s">
        <v>344</v>
      </c>
      <c r="E254" s="76">
        <v>5.075170667900279</v>
      </c>
      <c r="F254" s="76">
        <v>5.167983353891942</v>
      </c>
      <c r="G254" s="76">
        <v>5.2610540255205116</v>
      </c>
      <c r="H254" s="76">
        <v>5.3543826827859906</v>
      </c>
      <c r="I254" s="76">
        <v>5.4479693256883772</v>
      </c>
      <c r="J254" s="76">
        <v>5.5418139542276714</v>
      </c>
      <c r="K254" s="76">
        <v>5.6359165684038732</v>
      </c>
      <c r="L254" s="76">
        <v>5.7302771682169826</v>
      </c>
      <c r="M254" s="76">
        <v>5.8248957536669996</v>
      </c>
      <c r="N254" s="76">
        <v>5.919772324753926</v>
      </c>
      <c r="O254" s="79">
        <v>6.0149068814777582</v>
      </c>
      <c r="P254" s="834"/>
    </row>
    <row r="255" spans="2:16" x14ac:dyDescent="0.45">
      <c r="B255" s="999"/>
      <c r="C255" s="1005"/>
      <c r="D255" s="34" t="s">
        <v>138</v>
      </c>
      <c r="E255" s="77">
        <v>4.2454184205739676</v>
      </c>
      <c r="F255" s="77">
        <v>4.2697035690623482</v>
      </c>
      <c r="G255" s="77">
        <v>4.2940428903507284</v>
      </c>
      <c r="H255" s="77">
        <v>4.3184363844391083</v>
      </c>
      <c r="I255" s="77">
        <v>4.3428840513274896</v>
      </c>
      <c r="J255" s="77">
        <v>4.3673858910158696</v>
      </c>
      <c r="K255" s="77">
        <v>4.3919419035042502</v>
      </c>
      <c r="L255" s="77">
        <v>4.4165520887926304</v>
      </c>
      <c r="M255" s="77">
        <v>4.4412164468810102</v>
      </c>
      <c r="N255" s="77">
        <v>4.4659349777693915</v>
      </c>
      <c r="O255" s="80">
        <v>4.4907076814577715</v>
      </c>
      <c r="P255" s="834"/>
    </row>
    <row r="256" spans="2:16" x14ac:dyDescent="0.45">
      <c r="B256" s="999"/>
      <c r="C256" s="1005"/>
      <c r="D256" s="34" t="s">
        <v>342</v>
      </c>
      <c r="E256" s="77">
        <v>5.7313873815427936</v>
      </c>
      <c r="F256" s="77">
        <v>5.7651885265991094</v>
      </c>
      <c r="G256" s="77">
        <v>5.7990612585814851</v>
      </c>
      <c r="H256" s="77">
        <v>5.8330055774899217</v>
      </c>
      <c r="I256" s="77">
        <v>5.8670214833244181</v>
      </c>
      <c r="J256" s="77">
        <v>5.9011089760849753</v>
      </c>
      <c r="K256" s="77">
        <v>5.9352680557715924</v>
      </c>
      <c r="L256" s="77">
        <v>5.9694987223842686</v>
      </c>
      <c r="M256" s="77">
        <v>6.0038009759230055</v>
      </c>
      <c r="N256" s="77">
        <v>6.0381748163878033</v>
      </c>
      <c r="O256" s="80">
        <v>6.0726202437786618</v>
      </c>
      <c r="P256" s="834"/>
    </row>
    <row r="257" spans="2:16" ht="14.65" thickBot="1" x14ac:dyDescent="0.5">
      <c r="B257" s="1000"/>
      <c r="C257" s="1006"/>
      <c r="D257" s="40" t="s">
        <v>343</v>
      </c>
      <c r="E257" s="78">
        <v>6.0564644290054481</v>
      </c>
      <c r="F257" s="78">
        <v>6.1503571149971119</v>
      </c>
      <c r="G257" s="78">
        <v>6.2445077866256815</v>
      </c>
      <c r="H257" s="78">
        <v>6.3389164438911596</v>
      </c>
      <c r="I257" s="78">
        <v>6.4335830867935462</v>
      </c>
      <c r="J257" s="78">
        <v>6.5285077153328404</v>
      </c>
      <c r="K257" s="78">
        <v>6.623690329509043</v>
      </c>
      <c r="L257" s="78">
        <v>6.7191309293221515</v>
      </c>
      <c r="M257" s="78">
        <v>6.8148295147721694</v>
      </c>
      <c r="N257" s="78">
        <v>6.9107860858590957</v>
      </c>
      <c r="O257" s="81">
        <v>7.0070006425829279</v>
      </c>
      <c r="P257" s="834"/>
    </row>
    <row r="258" spans="2:16" ht="14.65" thickBot="1" x14ac:dyDescent="0.5">
      <c r="P258" s="788"/>
    </row>
    <row r="259" spans="2:16" x14ac:dyDescent="0.45">
      <c r="B259" s="998">
        <v>2050</v>
      </c>
      <c r="C259" s="1001" t="s">
        <v>345</v>
      </c>
      <c r="D259" s="45" t="s">
        <v>344</v>
      </c>
      <c r="E259" s="76">
        <v>3.0670359124828517</v>
      </c>
      <c r="F259" s="76">
        <v>3.1486756102594629</v>
      </c>
      <c r="G259" s="76">
        <v>3.230626928768829</v>
      </c>
      <c r="H259" s="76">
        <v>3.3128903813144128</v>
      </c>
      <c r="I259" s="76">
        <v>3.3954664811996804</v>
      </c>
      <c r="J259" s="76">
        <v>3.4783557417280959</v>
      </c>
      <c r="K259" s="76">
        <v>3.5615586762031253</v>
      </c>
      <c r="L259" s="76">
        <v>3.6450757979282309</v>
      </c>
      <c r="M259" s="76">
        <v>3.7289076202068805</v>
      </c>
      <c r="N259" s="76">
        <v>3.8130546563425369</v>
      </c>
      <c r="O259" s="79">
        <v>3.8975174196386648</v>
      </c>
      <c r="P259" s="834"/>
    </row>
    <row r="260" spans="2:16" x14ac:dyDescent="0.45">
      <c r="B260" s="999"/>
      <c r="C260" s="1002"/>
      <c r="D260" s="34" t="s">
        <v>138</v>
      </c>
      <c r="E260" s="77">
        <v>2.4508463873357673</v>
      </c>
      <c r="F260" s="77">
        <v>2.469508893261938</v>
      </c>
      <c r="G260" s="77">
        <v>2.4883985158758266</v>
      </c>
      <c r="H260" s="77">
        <v>2.5074971756077806</v>
      </c>
      <c r="I260" s="77">
        <v>2.5267887537627849</v>
      </c>
      <c r="J260" s="77">
        <v>2.5462588336975434</v>
      </c>
      <c r="K260" s="77">
        <v>2.5658944819387401</v>
      </c>
      <c r="L260" s="77">
        <v>2.5856840622318331</v>
      </c>
      <c r="M260" s="77">
        <v>2.6056170768816891</v>
      </c>
      <c r="N260" s="77">
        <v>2.6256840308234395</v>
      </c>
      <c r="O260" s="80">
        <v>2.645876314713008</v>
      </c>
      <c r="P260" s="834"/>
    </row>
    <row r="261" spans="2:16" x14ac:dyDescent="0.45">
      <c r="B261" s="999"/>
      <c r="C261" s="1002"/>
      <c r="D261" s="34" t="s">
        <v>342</v>
      </c>
      <c r="E261" s="77">
        <v>3.5827062237215097</v>
      </c>
      <c r="F261" s="77">
        <v>3.6136698353190706</v>
      </c>
      <c r="G261" s="77">
        <v>3.6446628957823943</v>
      </c>
      <c r="H261" s="77">
        <v>3.6756851360216931</v>
      </c>
      <c r="I261" s="77">
        <v>3.7067363161321314</v>
      </c>
      <c r="J261" s="77">
        <v>3.7378162215415953</v>
      </c>
      <c r="K261" s="77">
        <v>3.7689246597529387</v>
      </c>
      <c r="L261" s="77">
        <v>3.8000614575763487</v>
      </c>
      <c r="M261" s="77">
        <v>3.8312264587679232</v>
      </c>
      <c r="N261" s="77">
        <v>3.8624195220065443</v>
      </c>
      <c r="O261" s="80">
        <v>3.8936405191538439</v>
      </c>
      <c r="P261" s="834"/>
    </row>
    <row r="262" spans="2:16" ht="14.65" thickBot="1" x14ac:dyDescent="0.5">
      <c r="B262" s="999"/>
      <c r="C262" s="1003"/>
      <c r="D262" s="40" t="s">
        <v>343</v>
      </c>
      <c r="E262" s="78">
        <v>3.459728416002565</v>
      </c>
      <c r="F262" s="78">
        <v>3.5446338797788739</v>
      </c>
      <c r="G262" s="78">
        <v>3.6298543446107132</v>
      </c>
      <c r="H262" s="78">
        <v>3.7153900547117571</v>
      </c>
      <c r="I262" s="78">
        <v>3.8012412834806364</v>
      </c>
      <c r="J262" s="78">
        <v>3.8874083296487019</v>
      </c>
      <c r="K262" s="78">
        <v>3.973891514022271</v>
      </c>
      <c r="L262" s="78">
        <v>4.0606911767149976</v>
      </c>
      <c r="M262" s="78">
        <v>4.1478076747864439</v>
      </c>
      <c r="N262" s="78">
        <v>4.2352413802189552</v>
      </c>
      <c r="O262" s="81">
        <v>4.3229926781776289</v>
      </c>
      <c r="P262" s="834"/>
    </row>
    <row r="263" spans="2:16" ht="14.65" thickBot="1" x14ac:dyDescent="0.5">
      <c r="B263" s="999"/>
      <c r="E263" s="16"/>
      <c r="F263" s="16"/>
      <c r="G263" s="16"/>
      <c r="H263" s="16"/>
      <c r="I263" s="16"/>
      <c r="J263" s="16"/>
      <c r="K263" s="16"/>
      <c r="L263" s="16"/>
      <c r="M263" s="16"/>
      <c r="N263" s="16"/>
      <c r="O263" s="16"/>
      <c r="P263" s="834"/>
    </row>
    <row r="264" spans="2:16" x14ac:dyDescent="0.45">
      <c r="B264" s="999"/>
      <c r="C264" s="1001" t="s">
        <v>129</v>
      </c>
      <c r="D264" s="45" t="s">
        <v>344</v>
      </c>
      <c r="E264" s="76">
        <v>3.6654403973493386</v>
      </c>
      <c r="F264" s="76">
        <v>3.7586856522483005</v>
      </c>
      <c r="G264" s="76">
        <v>3.8522666217021899</v>
      </c>
      <c r="H264" s="76">
        <v>3.9461838190144709</v>
      </c>
      <c r="I264" s="76">
        <v>4.0404377574886094</v>
      </c>
      <c r="J264" s="76">
        <v>4.1350289504280697</v>
      </c>
      <c r="K264" s="76">
        <v>4.2299579111363173</v>
      </c>
      <c r="L264" s="76">
        <v>4.3252251529168149</v>
      </c>
      <c r="M264" s="76">
        <v>4.4208311890730299</v>
      </c>
      <c r="N264" s="76">
        <v>4.5167765329084251</v>
      </c>
      <c r="O264" s="79">
        <v>4.613061697726466</v>
      </c>
      <c r="P264" s="834"/>
    </row>
    <row r="265" spans="2:16" x14ac:dyDescent="0.45">
      <c r="B265" s="999"/>
      <c r="C265" s="1002"/>
      <c r="D265" s="34" t="s">
        <v>138</v>
      </c>
      <c r="E265" s="77">
        <v>2.8927751552622079</v>
      </c>
      <c r="F265" s="77">
        <v>2.9201897554097291</v>
      </c>
      <c r="G265" s="77">
        <v>2.9476306784928861</v>
      </c>
      <c r="H265" s="77">
        <v>2.9750979245116778</v>
      </c>
      <c r="I265" s="77">
        <v>3.0025914934661051</v>
      </c>
      <c r="J265" s="77">
        <v>3.0301113853561676</v>
      </c>
      <c r="K265" s="77">
        <v>3.0576576001818654</v>
      </c>
      <c r="L265" s="77">
        <v>3.0852301379431983</v>
      </c>
      <c r="M265" s="77">
        <v>3.1128289986401665</v>
      </c>
      <c r="N265" s="77">
        <v>3.1404541822727703</v>
      </c>
      <c r="O265" s="80">
        <v>3.1681056888410084</v>
      </c>
      <c r="P265" s="834"/>
    </row>
    <row r="266" spans="2:16" x14ac:dyDescent="0.45">
      <c r="B266" s="999"/>
      <c r="C266" s="1002"/>
      <c r="D266" s="34" t="s">
        <v>342</v>
      </c>
      <c r="E266" s="77">
        <v>4.0109607750985887</v>
      </c>
      <c r="F266" s="77">
        <v>4.0470355310060171</v>
      </c>
      <c r="G266" s="77">
        <v>4.0831521888945659</v>
      </c>
      <c r="H266" s="77">
        <v>4.1193107487642386</v>
      </c>
      <c r="I266" s="77">
        <v>4.1555112106150336</v>
      </c>
      <c r="J266" s="77">
        <v>4.1917535744469507</v>
      </c>
      <c r="K266" s="77">
        <v>4.2280378402599901</v>
      </c>
      <c r="L266" s="77">
        <v>4.2643640080541525</v>
      </c>
      <c r="M266" s="77">
        <v>4.300732077829438</v>
      </c>
      <c r="N266" s="77">
        <v>4.3371420495858448</v>
      </c>
      <c r="O266" s="80">
        <v>4.3735939233233747</v>
      </c>
      <c r="P266" s="834"/>
    </row>
    <row r="267" spans="2:16" ht="14.65" thickBot="1" x14ac:dyDescent="0.5">
      <c r="B267" s="1000"/>
      <c r="C267" s="1003"/>
      <c r="D267" s="40" t="s">
        <v>343</v>
      </c>
      <c r="E267" s="78">
        <v>4.3471222848179565</v>
      </c>
      <c r="F267" s="78">
        <v>4.4410875397169178</v>
      </c>
      <c r="G267" s="78">
        <v>4.5353885091708079</v>
      </c>
      <c r="H267" s="78">
        <v>4.6300257064830888</v>
      </c>
      <c r="I267" s="78">
        <v>4.7249996449572276</v>
      </c>
      <c r="J267" s="78">
        <v>4.8203108378966872</v>
      </c>
      <c r="K267" s="78">
        <v>4.9159597986049342</v>
      </c>
      <c r="L267" s="78">
        <v>5.011947040385432</v>
      </c>
      <c r="M267" s="78">
        <v>5.1082730765416473</v>
      </c>
      <c r="N267" s="78">
        <v>5.2049384203770419</v>
      </c>
      <c r="O267" s="81">
        <v>5.3019435851950831</v>
      </c>
      <c r="P267" s="16"/>
    </row>
    <row r="269" spans="2:16" ht="14.65" thickBot="1" x14ac:dyDescent="0.5"/>
    <row r="270" spans="2:16" ht="14.65" thickBot="1" x14ac:dyDescent="0.5">
      <c r="D270" s="60" t="s">
        <v>31</v>
      </c>
    </row>
    <row r="271" spans="2:16" ht="14.65" thickBot="1" x14ac:dyDescent="0.5">
      <c r="D271" s="4"/>
    </row>
    <row r="272" spans="2:16" ht="14.65" thickBot="1" x14ac:dyDescent="0.5">
      <c r="D272" s="19" t="s">
        <v>347</v>
      </c>
      <c r="E272" s="842">
        <v>0</v>
      </c>
      <c r="F272" s="21" t="s">
        <v>30</v>
      </c>
    </row>
    <row r="273" spans="2:16" ht="14.65" thickBot="1" x14ac:dyDescent="0.5">
      <c r="D273" s="30" t="s">
        <v>348</v>
      </c>
      <c r="E273" s="849">
        <v>80</v>
      </c>
      <c r="F273" s="189" t="s">
        <v>30</v>
      </c>
    </row>
    <row r="274" spans="2:16" ht="14.65" thickBot="1" x14ac:dyDescent="0.5">
      <c r="D274" s="28" t="s">
        <v>349</v>
      </c>
      <c r="E274" s="844">
        <v>10</v>
      </c>
      <c r="F274" s="29" t="s">
        <v>30</v>
      </c>
    </row>
    <row r="275" spans="2:16" ht="14.65" thickBot="1" x14ac:dyDescent="0.5"/>
    <row r="276" spans="2:16" ht="14.65" thickBot="1" x14ac:dyDescent="0.5">
      <c r="D276" s="38" t="s">
        <v>30</v>
      </c>
      <c r="E276" s="852">
        <v>0</v>
      </c>
      <c r="F276" s="839">
        <v>10</v>
      </c>
      <c r="G276" s="839">
        <v>20</v>
      </c>
      <c r="H276" s="839">
        <v>30</v>
      </c>
      <c r="I276" s="839">
        <v>40</v>
      </c>
      <c r="J276" s="839">
        <v>50</v>
      </c>
      <c r="K276" s="839">
        <v>60</v>
      </c>
      <c r="L276" s="839">
        <v>70</v>
      </c>
      <c r="M276" s="839">
        <v>80</v>
      </c>
      <c r="N276" s="839"/>
      <c r="O276" s="840"/>
      <c r="P276" s="788"/>
    </row>
    <row r="277" spans="2:16" ht="14.65" thickBot="1" x14ac:dyDescent="0.5">
      <c r="D277" s="850" t="s">
        <v>199</v>
      </c>
      <c r="E277" s="849">
        <v>100</v>
      </c>
      <c r="F277" s="851" t="s">
        <v>43</v>
      </c>
      <c r="G277" s="1"/>
      <c r="H277" s="1"/>
      <c r="I277" s="1"/>
      <c r="J277" s="1"/>
      <c r="K277" s="1"/>
      <c r="L277" s="1"/>
      <c r="M277" s="1"/>
      <c r="N277" s="1"/>
      <c r="O277" s="1"/>
    </row>
    <row r="278" spans="2:16" ht="14.65" thickBot="1" x14ac:dyDescent="0.5"/>
    <row r="279" spans="2:16" x14ac:dyDescent="0.45">
      <c r="B279" s="998">
        <v>2035</v>
      </c>
      <c r="C279" s="1001" t="s">
        <v>345</v>
      </c>
      <c r="D279" s="45" t="s">
        <v>344</v>
      </c>
      <c r="E279" s="76">
        <v>4.2014281752539233</v>
      </c>
      <c r="F279" s="76">
        <v>4.2018465719127054</v>
      </c>
      <c r="G279" s="76">
        <v>4.2021043631444774</v>
      </c>
      <c r="H279" s="76">
        <v>4.2787982536637603</v>
      </c>
      <c r="I279" s="76">
        <v>4.3552439475231495</v>
      </c>
      <c r="J279" s="76">
        <v>4.4313728640666223</v>
      </c>
      <c r="K279" s="76">
        <v>4.5070885928067259</v>
      </c>
      <c r="L279" s="76">
        <v>4.5822511830358694</v>
      </c>
      <c r="M279" s="76">
        <v>4.6566494364135016</v>
      </c>
      <c r="N279" s="76"/>
      <c r="O279" s="79"/>
      <c r="P279" s="834"/>
    </row>
    <row r="280" spans="2:16" x14ac:dyDescent="0.45">
      <c r="B280" s="999"/>
      <c r="C280" s="1002"/>
      <c r="D280" s="34" t="s">
        <v>138</v>
      </c>
      <c r="E280" s="77">
        <v>2.5916049857215766</v>
      </c>
      <c r="F280" s="77">
        <v>2.5904257956197991</v>
      </c>
      <c r="G280" s="77">
        <v>2.5890860558366255</v>
      </c>
      <c r="H280" s="77">
        <v>2.6665302921684977</v>
      </c>
      <c r="I280" s="77">
        <v>2.7436145160296364</v>
      </c>
      <c r="J280" s="77">
        <v>2.8202781702219397</v>
      </c>
      <c r="K280" s="77">
        <v>2.896432118006032</v>
      </c>
      <c r="L280" s="77">
        <v>2.9719430182795792</v>
      </c>
      <c r="M280" s="77">
        <v>3.0466056922737685</v>
      </c>
      <c r="N280" s="77"/>
      <c r="O280" s="80"/>
      <c r="P280" s="834"/>
    </row>
    <row r="281" spans="2:16" x14ac:dyDescent="0.45">
      <c r="B281" s="999"/>
      <c r="C281" s="1002"/>
      <c r="D281" s="34" t="s">
        <v>342</v>
      </c>
      <c r="E281" s="77">
        <v>4.2187570541348904</v>
      </c>
      <c r="F281" s="77">
        <v>4.2182922408617323</v>
      </c>
      <c r="G281" s="77">
        <v>4.2176629744038969</v>
      </c>
      <c r="H281" s="77">
        <v>4.2953579557838504</v>
      </c>
      <c r="I281" s="77">
        <v>4.372796112391212</v>
      </c>
      <c r="J281" s="77">
        <v>4.4499074122470965</v>
      </c>
      <c r="K281" s="77">
        <v>4.5265933085996286</v>
      </c>
      <c r="L281" s="77">
        <v>4.6027106550684227</v>
      </c>
      <c r="M281" s="77">
        <v>4.6780433359678799</v>
      </c>
      <c r="N281" s="77"/>
      <c r="O281" s="80"/>
      <c r="P281" s="834"/>
    </row>
    <row r="282" spans="2:16" ht="14.65" thickBot="1" x14ac:dyDescent="0.5">
      <c r="B282" s="999"/>
      <c r="C282" s="1003"/>
      <c r="D282" s="40" t="s">
        <v>343</v>
      </c>
      <c r="E282" s="78">
        <v>5.51670472890829</v>
      </c>
      <c r="F282" s="78">
        <v>5.5170948649207965</v>
      </c>
      <c r="G282" s="78">
        <v>5.5173205477486249</v>
      </c>
      <c r="H282" s="78">
        <v>5.595870478414243</v>
      </c>
      <c r="I282" s="78">
        <v>5.6741635843072693</v>
      </c>
      <c r="J282" s="78">
        <v>5.7521298334488176</v>
      </c>
      <c r="K282" s="78">
        <v>5.8296706790870134</v>
      </c>
      <c r="L282" s="78">
        <v>5.9066429748414713</v>
      </c>
      <c r="M282" s="78">
        <v>5.9828306050265923</v>
      </c>
      <c r="N282" s="78"/>
      <c r="O282" s="81"/>
      <c r="P282" s="834"/>
    </row>
    <row r="283" spans="2:16" ht="14.65" thickBot="1" x14ac:dyDescent="0.5">
      <c r="B283" s="999"/>
      <c r="E283" s="834"/>
      <c r="F283" s="834"/>
      <c r="G283" s="834"/>
      <c r="H283" s="834"/>
      <c r="I283" s="834"/>
      <c r="J283" s="834"/>
      <c r="K283" s="834"/>
      <c r="L283" s="834"/>
      <c r="M283" s="834"/>
      <c r="N283" s="834"/>
      <c r="O283" s="834"/>
      <c r="P283" s="834"/>
    </row>
    <row r="284" spans="2:16" x14ac:dyDescent="0.45">
      <c r="B284" s="999"/>
      <c r="C284" s="1001" t="s">
        <v>129</v>
      </c>
      <c r="D284" s="45" t="s">
        <v>344</v>
      </c>
      <c r="E284" s="76">
        <v>5.9212707825952364</v>
      </c>
      <c r="F284" s="76">
        <v>5.9368767990756561</v>
      </c>
      <c r="G284" s="76">
        <v>5.9524828155560758</v>
      </c>
      <c r="H284" s="76">
        <v>5.9680888320364973</v>
      </c>
      <c r="I284" s="76">
        <v>5.9836948485169179</v>
      </c>
      <c r="J284" s="76">
        <v>5.9993008649973376</v>
      </c>
      <c r="K284" s="76">
        <v>6.0149068814777582</v>
      </c>
      <c r="L284" s="76">
        <v>6.0305128979581788</v>
      </c>
      <c r="M284" s="76">
        <v>6.0461189144386003</v>
      </c>
      <c r="N284" s="76"/>
      <c r="O284" s="79"/>
      <c r="P284" s="834"/>
    </row>
    <row r="285" spans="2:16" x14ac:dyDescent="0.45">
      <c r="B285" s="999"/>
      <c r="C285" s="1002"/>
      <c r="D285" s="34" t="s">
        <v>138</v>
      </c>
      <c r="E285" s="77">
        <v>4.4062585595650621</v>
      </c>
      <c r="F285" s="77">
        <v>4.4203334132138465</v>
      </c>
      <c r="G285" s="77">
        <v>4.434408266862631</v>
      </c>
      <c r="H285" s="77">
        <v>4.4484831205114164</v>
      </c>
      <c r="I285" s="77">
        <v>4.4625579741602017</v>
      </c>
      <c r="J285" s="77">
        <v>4.4766328278089862</v>
      </c>
      <c r="K285" s="77">
        <v>4.4907076814577715</v>
      </c>
      <c r="L285" s="77">
        <v>4.5047825351065569</v>
      </c>
      <c r="M285" s="77">
        <v>4.5188573887553423</v>
      </c>
      <c r="N285" s="77"/>
      <c r="O285" s="80"/>
      <c r="P285" s="834"/>
    </row>
    <row r="286" spans="2:16" x14ac:dyDescent="0.45">
      <c r="B286" s="999"/>
      <c r="C286" s="1002"/>
      <c r="D286" s="34" t="s">
        <v>342</v>
      </c>
      <c r="E286" s="77">
        <v>5.9820899203291633</v>
      </c>
      <c r="F286" s="77">
        <v>5.9971783075707457</v>
      </c>
      <c r="G286" s="77">
        <v>6.0122666948123289</v>
      </c>
      <c r="H286" s="77">
        <v>6.0273550820539121</v>
      </c>
      <c r="I286" s="77">
        <v>6.0424434692954954</v>
      </c>
      <c r="J286" s="77">
        <v>6.0575318565370786</v>
      </c>
      <c r="K286" s="77">
        <v>6.0726202437786618</v>
      </c>
      <c r="L286" s="77">
        <v>6.0877086310202451</v>
      </c>
      <c r="M286" s="77">
        <v>6.1027970182618283</v>
      </c>
      <c r="N286" s="77"/>
      <c r="O286" s="80"/>
      <c r="P286" s="834"/>
    </row>
    <row r="287" spans="2:16" ht="14.65" thickBot="1" x14ac:dyDescent="0.5">
      <c r="B287" s="1000"/>
      <c r="C287" s="1003"/>
      <c r="D287" s="40" t="s">
        <v>343</v>
      </c>
      <c r="E287" s="78">
        <v>6.9133645437004052</v>
      </c>
      <c r="F287" s="78">
        <v>6.9289705601808258</v>
      </c>
      <c r="G287" s="78">
        <v>6.9445765766612464</v>
      </c>
      <c r="H287" s="78">
        <v>6.960182593141667</v>
      </c>
      <c r="I287" s="78">
        <v>6.9757886096220876</v>
      </c>
      <c r="J287" s="78">
        <v>6.9913946261025082</v>
      </c>
      <c r="K287" s="78">
        <v>7.0070006425829279</v>
      </c>
      <c r="L287" s="78">
        <v>7.0226066590633494</v>
      </c>
      <c r="M287" s="78">
        <v>7.0382126755437699</v>
      </c>
      <c r="N287" s="78"/>
      <c r="O287" s="81"/>
      <c r="P287" s="834"/>
    </row>
    <row r="288" spans="2:16" ht="14.65" thickBot="1" x14ac:dyDescent="0.5">
      <c r="E288" s="834"/>
      <c r="F288" s="834"/>
      <c r="G288" s="834"/>
      <c r="H288" s="834"/>
      <c r="I288" s="834"/>
      <c r="J288" s="834"/>
      <c r="K288" s="834"/>
      <c r="L288" s="834"/>
      <c r="M288" s="834"/>
      <c r="N288" s="834"/>
      <c r="O288" s="834"/>
      <c r="P288" s="834"/>
    </row>
    <row r="289" spans="2:16" x14ac:dyDescent="0.45">
      <c r="B289" s="998">
        <v>2050</v>
      </c>
      <c r="C289" s="1001" t="s">
        <v>345</v>
      </c>
      <c r="D289" s="45" t="s">
        <v>344</v>
      </c>
      <c r="E289" s="84">
        <v>3.6533580366191098</v>
      </c>
      <c r="F289" s="76">
        <v>3.6536436415956</v>
      </c>
      <c r="G289" s="76">
        <v>3.6537778947822686</v>
      </c>
      <c r="H289" s="76">
        <v>3.7151348062045066</v>
      </c>
      <c r="I289" s="76">
        <v>3.7762578213668121</v>
      </c>
      <c r="J289" s="76">
        <v>3.8370823110394667</v>
      </c>
      <c r="K289" s="76">
        <v>3.8975174196386648</v>
      </c>
      <c r="L289" s="76">
        <v>3.9574312600266217</v>
      </c>
      <c r="M289" s="76">
        <v>4.0166248025226832</v>
      </c>
      <c r="N289" s="76"/>
      <c r="O289" s="79"/>
      <c r="P289" s="834"/>
    </row>
    <row r="290" spans="2:16" x14ac:dyDescent="0.45">
      <c r="B290" s="999"/>
      <c r="C290" s="1002"/>
      <c r="D290" s="34" t="s">
        <v>138</v>
      </c>
      <c r="E290" s="85">
        <v>2.3768050497734245</v>
      </c>
      <c r="F290" s="77">
        <v>2.3756899741578836</v>
      </c>
      <c r="G290" s="77">
        <v>2.3744236024981351</v>
      </c>
      <c r="H290" s="77">
        <v>2.4428686984457926</v>
      </c>
      <c r="I290" s="77">
        <v>2.5109680823226772</v>
      </c>
      <c r="J290" s="77">
        <v>2.5786651483569925</v>
      </c>
      <c r="K290" s="77">
        <v>2.645876314713008</v>
      </c>
      <c r="L290" s="77">
        <v>2.7124763038581996</v>
      </c>
      <c r="M290" s="77">
        <v>2.778272105683647</v>
      </c>
      <c r="N290" s="77"/>
      <c r="O290" s="80"/>
      <c r="P290" s="834"/>
    </row>
    <row r="291" spans="2:16" x14ac:dyDescent="0.45">
      <c r="B291" s="999"/>
      <c r="C291" s="1002"/>
      <c r="D291" s="34" t="s">
        <v>342</v>
      </c>
      <c r="E291" s="85">
        <v>3.6250946743484072</v>
      </c>
      <c r="F291" s="77">
        <v>3.6246666782846244</v>
      </c>
      <c r="G291" s="77">
        <v>3.6240850785953271</v>
      </c>
      <c r="H291" s="77">
        <v>3.6919046299989144</v>
      </c>
      <c r="I291" s="77">
        <v>3.7594851396889339</v>
      </c>
      <c r="J291" s="77">
        <v>3.8267611359358011</v>
      </c>
      <c r="K291" s="77">
        <v>3.8936405191538439</v>
      </c>
      <c r="L291" s="77">
        <v>3.9599895376197187</v>
      </c>
      <c r="M291" s="77">
        <v>4.0256062889599997</v>
      </c>
      <c r="N291" s="77"/>
      <c r="O291" s="80"/>
      <c r="P291" s="834"/>
    </row>
    <row r="292" spans="2:16" ht="14.65" thickBot="1" x14ac:dyDescent="0.5">
      <c r="B292" s="999"/>
      <c r="C292" s="1003"/>
      <c r="D292" s="40" t="s">
        <v>343</v>
      </c>
      <c r="E292" s="86">
        <v>4.0748285356047944</v>
      </c>
      <c r="F292" s="78">
        <v>4.0750975441984449</v>
      </c>
      <c r="G292" s="78">
        <v>4.0752129491665814</v>
      </c>
      <c r="H292" s="78">
        <v>4.1375885726833008</v>
      </c>
      <c r="I292" s="78">
        <v>4.1997251544864538</v>
      </c>
      <c r="J292" s="78">
        <v>4.2615572228464531</v>
      </c>
      <c r="K292" s="78">
        <v>4.3229926781776289</v>
      </c>
      <c r="L292" s="78">
        <v>4.3838977687566354</v>
      </c>
      <c r="M292" s="78">
        <v>4.4440705922100499</v>
      </c>
      <c r="N292" s="78"/>
      <c r="O292" s="81"/>
      <c r="P292" s="834"/>
    </row>
    <row r="293" spans="2:16" ht="14.65" thickBot="1" x14ac:dyDescent="0.5">
      <c r="B293" s="999"/>
      <c r="E293" s="834"/>
      <c r="F293" s="834"/>
      <c r="G293" s="834"/>
      <c r="H293" s="834"/>
      <c r="I293" s="834"/>
      <c r="J293" s="834"/>
      <c r="K293" s="834"/>
      <c r="L293" s="834"/>
      <c r="M293" s="834"/>
      <c r="N293" s="834"/>
      <c r="O293" s="834"/>
      <c r="P293" s="834"/>
    </row>
    <row r="294" spans="2:16" x14ac:dyDescent="0.45">
      <c r="B294" s="999"/>
      <c r="C294" s="1001" t="s">
        <v>129</v>
      </c>
      <c r="D294" s="45" t="s">
        <v>344</v>
      </c>
      <c r="E294" s="84">
        <v>4.5633696403397659</v>
      </c>
      <c r="F294" s="76">
        <v>4.5716516499042168</v>
      </c>
      <c r="G294" s="76">
        <v>4.5799336594686659</v>
      </c>
      <c r="H294" s="76">
        <v>4.588215669033116</v>
      </c>
      <c r="I294" s="76">
        <v>4.596497678597566</v>
      </c>
      <c r="J294" s="76">
        <v>4.6047796881620151</v>
      </c>
      <c r="K294" s="76">
        <v>4.613061697726466</v>
      </c>
      <c r="L294" s="76">
        <v>4.6213437072909151</v>
      </c>
      <c r="M294" s="76">
        <v>4.6296257168553652</v>
      </c>
      <c r="N294" s="76"/>
      <c r="O294" s="79"/>
      <c r="P294" s="834"/>
    </row>
    <row r="295" spans="2:16" x14ac:dyDescent="0.45">
      <c r="B295" s="999"/>
      <c r="C295" s="1002"/>
      <c r="D295" s="34" t="s">
        <v>138</v>
      </c>
      <c r="E295" s="85">
        <v>3.1270712804288214</v>
      </c>
      <c r="F295" s="77">
        <v>3.1339103484975195</v>
      </c>
      <c r="G295" s="77">
        <v>3.1407494165662171</v>
      </c>
      <c r="H295" s="77">
        <v>3.1475884846349151</v>
      </c>
      <c r="I295" s="77">
        <v>3.1544275527036127</v>
      </c>
      <c r="J295" s="77">
        <v>3.1612666207723104</v>
      </c>
      <c r="K295" s="77">
        <v>3.1681056888410084</v>
      </c>
      <c r="L295" s="77">
        <v>3.174944756909706</v>
      </c>
      <c r="M295" s="77">
        <v>3.1817838249784036</v>
      </c>
      <c r="N295" s="77"/>
      <c r="O295" s="80"/>
      <c r="P295" s="834"/>
    </row>
    <row r="296" spans="2:16" x14ac:dyDescent="0.45">
      <c r="B296" s="999"/>
      <c r="C296" s="1002"/>
      <c r="D296" s="34" t="s">
        <v>342</v>
      </c>
      <c r="E296" s="85">
        <v>4.3281252615587151</v>
      </c>
      <c r="F296" s="77">
        <v>4.3357033718528246</v>
      </c>
      <c r="G296" s="77">
        <v>4.3432814821469341</v>
      </c>
      <c r="H296" s="77">
        <v>4.3508595924410445</v>
      </c>
      <c r="I296" s="77">
        <v>4.358437702735154</v>
      </c>
      <c r="J296" s="77">
        <v>4.3660158130292643</v>
      </c>
      <c r="K296" s="77">
        <v>4.3735939233233747</v>
      </c>
      <c r="L296" s="77">
        <v>4.3811720336174833</v>
      </c>
      <c r="M296" s="77">
        <v>4.3887501439115928</v>
      </c>
      <c r="N296" s="77"/>
      <c r="O296" s="80"/>
      <c r="P296" s="834"/>
    </row>
    <row r="297" spans="2:16" ht="14.65" thickBot="1" x14ac:dyDescent="0.5">
      <c r="B297" s="1000"/>
      <c r="C297" s="1003"/>
      <c r="D297" s="40" t="s">
        <v>343</v>
      </c>
      <c r="E297" s="86">
        <v>5.252251527808383</v>
      </c>
      <c r="F297" s="78">
        <v>5.2605335373728339</v>
      </c>
      <c r="G297" s="78">
        <v>5.2688155469372839</v>
      </c>
      <c r="H297" s="78">
        <v>5.2770975565017331</v>
      </c>
      <c r="I297" s="78">
        <v>5.2853795660661831</v>
      </c>
      <c r="J297" s="78">
        <v>5.2936615756306331</v>
      </c>
      <c r="K297" s="78">
        <v>5.3019435851950831</v>
      </c>
      <c r="L297" s="78">
        <v>5.3102255947595332</v>
      </c>
      <c r="M297" s="78">
        <v>5.3185076043239832</v>
      </c>
      <c r="N297" s="78"/>
      <c r="O297" s="81"/>
      <c r="P297" s="834"/>
    </row>
  </sheetData>
  <mergeCells count="22">
    <mergeCell ref="C57:C139"/>
    <mergeCell ref="E58:E76"/>
    <mergeCell ref="E79:E97"/>
    <mergeCell ref="E100:E118"/>
    <mergeCell ref="E121:E139"/>
    <mergeCell ref="C141:C223"/>
    <mergeCell ref="E142:E160"/>
    <mergeCell ref="E163:E181"/>
    <mergeCell ref="E205:E223"/>
    <mergeCell ref="E184:E202"/>
    <mergeCell ref="B289:B297"/>
    <mergeCell ref="C289:C292"/>
    <mergeCell ref="C294:C297"/>
    <mergeCell ref="C249:C252"/>
    <mergeCell ref="C254:C257"/>
    <mergeCell ref="C279:C282"/>
    <mergeCell ref="C284:C287"/>
    <mergeCell ref="B249:B257"/>
    <mergeCell ref="B259:B267"/>
    <mergeCell ref="C259:C262"/>
    <mergeCell ref="C264:C267"/>
    <mergeCell ref="B279:B287"/>
  </mergeCells>
  <pageMargins left="0.7" right="0.7" top="0.75" bottom="0.75" header="0.3" footer="0.3"/>
  <pageSetup paperSize="9" orientation="portrait" r:id="rId1"/>
  <drawing r:id="rId2"/>
  <legacyDrawing r:id="rId3"/>
  <controls>
    <mc:AlternateContent xmlns:mc="http://schemas.openxmlformats.org/markup-compatibility/2006">
      <mc:Choice Requires="x14">
        <control shapeId="24582" r:id="rId4" name="CommandButton3">
          <controlPr defaultSize="0" autoLine="0" autoPict="0" r:id="rId5">
            <anchor moveWithCells="1">
              <from>
                <xdr:col>13</xdr:col>
                <xdr:colOff>9525</xdr:colOff>
                <xdr:row>52</xdr:row>
                <xdr:rowOff>180975</xdr:rowOff>
              </from>
              <to>
                <xdr:col>14</xdr:col>
                <xdr:colOff>304800</xdr:colOff>
                <xdr:row>55</xdr:row>
                <xdr:rowOff>9525</xdr:rowOff>
              </to>
            </anchor>
          </controlPr>
        </control>
      </mc:Choice>
      <mc:Fallback>
        <control shapeId="24582" r:id="rId4" name="CommandButton3"/>
      </mc:Fallback>
    </mc:AlternateContent>
    <mc:AlternateContent xmlns:mc="http://schemas.openxmlformats.org/markup-compatibility/2006">
      <mc:Choice Requires="x14">
        <control shapeId="24578" r:id="rId6" name="CommandButton2">
          <controlPr defaultSize="0" autoLine="0" r:id="rId7">
            <anchor moveWithCells="1">
              <from>
                <xdr:col>6</xdr:col>
                <xdr:colOff>838200</xdr:colOff>
                <xdr:row>270</xdr:row>
                <xdr:rowOff>180975</xdr:rowOff>
              </from>
              <to>
                <xdr:col>8</xdr:col>
                <xdr:colOff>428625</xdr:colOff>
                <xdr:row>274</xdr:row>
                <xdr:rowOff>47625</xdr:rowOff>
              </to>
            </anchor>
          </controlPr>
        </control>
      </mc:Choice>
      <mc:Fallback>
        <control shapeId="24578" r:id="rId6" name="CommandButton2"/>
      </mc:Fallback>
    </mc:AlternateContent>
    <mc:AlternateContent xmlns:mc="http://schemas.openxmlformats.org/markup-compatibility/2006">
      <mc:Choice Requires="x14">
        <control shapeId="24579" r:id="rId8" name="CommandButton1">
          <controlPr defaultSize="0" autoLine="0" r:id="rId9">
            <anchor moveWithCells="1">
              <from>
                <xdr:col>6</xdr:col>
                <xdr:colOff>828675</xdr:colOff>
                <xdr:row>240</xdr:row>
                <xdr:rowOff>0</xdr:rowOff>
              </from>
              <to>
                <xdr:col>8</xdr:col>
                <xdr:colOff>19050</xdr:colOff>
                <xdr:row>243</xdr:row>
                <xdr:rowOff>52388</xdr:rowOff>
              </to>
            </anchor>
          </controlPr>
        </control>
      </mc:Choice>
      <mc:Fallback>
        <control shapeId="24579" r:id="rId8" name="CommandButton1"/>
      </mc:Fallback>
    </mc:AlternateContent>
    <mc:AlternateContent xmlns:mc="http://schemas.openxmlformats.org/markup-compatibility/2006">
      <mc:Choice Requires="x14">
        <control shapeId="24581" r:id="rId10" name="Spinner 5">
          <controlPr defaultSize="0" autoPict="0">
            <anchor moveWithCells="1" sizeWithCells="1">
              <from>
                <xdr:col>5</xdr:col>
                <xdr:colOff>19050</xdr:colOff>
                <xdr:row>2</xdr:row>
                <xdr:rowOff>142875</xdr:rowOff>
              </from>
              <to>
                <xdr:col>5</xdr:col>
                <xdr:colOff>438150</xdr:colOff>
                <xdr:row>4</xdr:row>
                <xdr:rowOff>0</xdr:rowOff>
              </to>
            </anchor>
          </controlPr>
        </control>
      </mc:Choice>
    </mc:AlternateContent>
  </controls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4</vt:i4>
      </vt:variant>
    </vt:vector>
  </HeadingPairs>
  <TitlesOfParts>
    <vt:vector size="4" baseType="lpstr">
      <vt:lpstr>Results</vt:lpstr>
      <vt:lpstr>Calculations</vt:lpstr>
      <vt:lpstr>Learning rates</vt:lpstr>
      <vt:lpstr>Matlab Export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Chris Hellinga</dc:creator>
  <cp:lastModifiedBy>Koen Rodewijk</cp:lastModifiedBy>
  <dcterms:created xsi:type="dcterms:W3CDTF">2021-02-04T20:25:33Z</dcterms:created>
  <dcterms:modified xsi:type="dcterms:W3CDTF">2021-11-17T15:51:54Z</dcterms:modified>
</cp:coreProperties>
</file>